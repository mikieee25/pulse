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doeitms-my.sharepoint.com/personal/eumb_epred_doe_gov_ph/Documents/EPRED OneDrive Access/EPRED 2025/05 ISSP/2025 files/ict list/"/>
    </mc:Choice>
  </mc:AlternateContent>
  <xr:revisionPtr revIDLastSave="4057" documentId="8_{8A7E235D-8BB5-9A4B-9A1B-65164E9B2CED}" xr6:coauthVersionLast="47" xr6:coauthVersionMax="47" xr10:uidLastSave="{7EB736D6-2CD9-4791-9BEC-3D7FC74F9D4E}"/>
  <bookViews>
    <workbookView xWindow="-110" yWindow="-110" windowWidth="25820" windowHeight="15500" xr2:uid="{0F539A27-B142-A24C-A1FF-CDD2A5DDFDDD}"/>
  </bookViews>
  <sheets>
    <sheet name="Laptop only" sheetId="12" r:id="rId1"/>
    <sheet name="Laptop" sheetId="3" r:id="rId2"/>
    <sheet name="Tablet" sheetId="5" r:id="rId3"/>
    <sheet name="Drone" sheetId="11" r:id="rId4"/>
    <sheet name="Camera" sheetId="6" r:id="rId5"/>
    <sheet name="Printer" sheetId="9" r:id="rId6"/>
    <sheet name="Sheet1" sheetId="10" r:id="rId7"/>
    <sheet name="Data" sheetId="4" r:id="rId8"/>
  </sheets>
  <definedNames>
    <definedName name="_xlnm._FilterDatabase" localSheetId="0" hidden="1">'Laptop only'!$A$1:$N$143</definedName>
    <definedName name="_xlnm._FilterDatabase" localSheetId="2" hidden="1">Tablet!$A$1:$N$95</definedName>
    <definedName name="_xlnm._FilterDatabase" localSheetId="1" hidden="1">Laptop!$A$1:$N$151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12" l="1"/>
  <c r="I113" i="12" s="1"/>
  <c r="G113" i="12"/>
  <c r="H134" i="12"/>
  <c r="I134" i="12" s="1"/>
  <c r="G134" i="12"/>
  <c r="I117" i="12"/>
  <c r="H116" i="12"/>
  <c r="I116" i="12" s="1"/>
  <c r="G116" i="12"/>
  <c r="H131" i="12"/>
  <c r="I131" i="12" s="1"/>
  <c r="G131" i="12"/>
  <c r="H123" i="12"/>
  <c r="I123" i="12" s="1"/>
  <c r="G123" i="12"/>
  <c r="H125" i="12"/>
  <c r="I125" i="12" s="1"/>
  <c r="G125" i="12"/>
  <c r="H124" i="12"/>
  <c r="I124" i="12" s="1"/>
  <c r="G124" i="12"/>
  <c r="H115" i="12"/>
  <c r="I115" i="12" s="1"/>
  <c r="G115" i="12"/>
  <c r="H114" i="12"/>
  <c r="I114" i="12" s="1"/>
  <c r="G114" i="12"/>
  <c r="H122" i="12"/>
  <c r="I122" i="12" s="1"/>
  <c r="G122" i="12"/>
  <c r="H132" i="12"/>
  <c r="I132" i="12" s="1"/>
  <c r="G132" i="12"/>
  <c r="H137" i="12"/>
  <c r="I137" i="12" s="1"/>
  <c r="G137" i="12"/>
  <c r="H6" i="12"/>
  <c r="I6" i="12" s="1"/>
  <c r="G6" i="12"/>
  <c r="H5" i="12"/>
  <c r="I5" i="12" s="1"/>
  <c r="G5" i="12"/>
  <c r="H4" i="12"/>
  <c r="I4" i="12" s="1"/>
  <c r="G4" i="12"/>
  <c r="I38" i="5"/>
  <c r="G34" i="12"/>
  <c r="H34" i="12"/>
  <c r="I53" i="12"/>
  <c r="H29" i="12"/>
  <c r="I29" i="12" s="1"/>
  <c r="G29" i="12"/>
  <c r="H143" i="12"/>
  <c r="I143" i="12" s="1"/>
  <c r="G143" i="12"/>
  <c r="H142" i="12"/>
  <c r="I142" i="12" s="1"/>
  <c r="G142" i="12"/>
  <c r="H141" i="12"/>
  <c r="I141" i="12" s="1"/>
  <c r="G141" i="12"/>
  <c r="H140" i="12"/>
  <c r="I140" i="12" s="1"/>
  <c r="G140" i="12"/>
  <c r="H139" i="12"/>
  <c r="I139" i="12" s="1"/>
  <c r="G139" i="12"/>
  <c r="H138" i="12"/>
  <c r="I138" i="12" s="1"/>
  <c r="G138" i="12"/>
  <c r="H136" i="12"/>
  <c r="I136" i="12" s="1"/>
  <c r="G136" i="12"/>
  <c r="H135" i="12"/>
  <c r="I135" i="12" s="1"/>
  <c r="G135" i="12"/>
  <c r="H130" i="12"/>
  <c r="I130" i="12" s="1"/>
  <c r="G130" i="12"/>
  <c r="H129" i="12"/>
  <c r="I129" i="12" s="1"/>
  <c r="G129" i="12"/>
  <c r="H128" i="12"/>
  <c r="I128" i="12" s="1"/>
  <c r="G128" i="12"/>
  <c r="H127" i="12"/>
  <c r="I127" i="12" s="1"/>
  <c r="G127" i="12"/>
  <c r="H126" i="12"/>
  <c r="I126" i="12" s="1"/>
  <c r="G126" i="12"/>
  <c r="H121" i="12"/>
  <c r="I121" i="12" s="1"/>
  <c r="G121" i="12"/>
  <c r="H120" i="12"/>
  <c r="I120" i="12" s="1"/>
  <c r="G120" i="12"/>
  <c r="H119" i="12"/>
  <c r="I119" i="12" s="1"/>
  <c r="G119" i="12"/>
  <c r="H118" i="12"/>
  <c r="I118" i="12" s="1"/>
  <c r="G118" i="12"/>
  <c r="H112" i="12"/>
  <c r="I112" i="12" s="1"/>
  <c r="G112" i="12"/>
  <c r="H111" i="12"/>
  <c r="I111" i="12" s="1"/>
  <c r="G111" i="12"/>
  <c r="H110" i="12"/>
  <c r="I110" i="12" s="1"/>
  <c r="G110" i="12"/>
  <c r="H109" i="12"/>
  <c r="I109" i="12" s="1"/>
  <c r="G109" i="12"/>
  <c r="H108" i="12"/>
  <c r="I108" i="12" s="1"/>
  <c r="G108" i="12"/>
  <c r="H107" i="12"/>
  <c r="I107" i="12" s="1"/>
  <c r="G107" i="12"/>
  <c r="H106" i="12"/>
  <c r="I106" i="12" s="1"/>
  <c r="G106" i="12"/>
  <c r="H105" i="12"/>
  <c r="I105" i="12" s="1"/>
  <c r="G105" i="12"/>
  <c r="H104" i="12"/>
  <c r="I104" i="12" s="1"/>
  <c r="G104" i="12"/>
  <c r="H103" i="12"/>
  <c r="I103" i="12" s="1"/>
  <c r="G103" i="12"/>
  <c r="H102" i="12"/>
  <c r="I102" i="12" s="1"/>
  <c r="G102" i="12"/>
  <c r="H101" i="12"/>
  <c r="I101" i="12" s="1"/>
  <c r="G101" i="12"/>
  <c r="H100" i="12"/>
  <c r="I100" i="12" s="1"/>
  <c r="G100" i="12"/>
  <c r="H99" i="12"/>
  <c r="I99" i="12" s="1"/>
  <c r="G99" i="12"/>
  <c r="H98" i="12"/>
  <c r="I98" i="12" s="1"/>
  <c r="G98" i="12"/>
  <c r="H97" i="12"/>
  <c r="I97" i="12" s="1"/>
  <c r="G97" i="12"/>
  <c r="H96" i="12"/>
  <c r="I96" i="12" s="1"/>
  <c r="G96" i="12"/>
  <c r="H95" i="12"/>
  <c r="I95" i="12" s="1"/>
  <c r="G95" i="12"/>
  <c r="H94" i="12"/>
  <c r="I94" i="12" s="1"/>
  <c r="G94" i="12"/>
  <c r="H92" i="12"/>
  <c r="I92" i="12" s="1"/>
  <c r="G92" i="12"/>
  <c r="H91" i="12"/>
  <c r="I91" i="12" s="1"/>
  <c r="G91" i="12"/>
  <c r="H90" i="12"/>
  <c r="I90" i="12" s="1"/>
  <c r="G90" i="12"/>
  <c r="H89" i="12"/>
  <c r="I89" i="12" s="1"/>
  <c r="G89" i="12"/>
  <c r="H88" i="12"/>
  <c r="I88" i="12" s="1"/>
  <c r="G88" i="12"/>
  <c r="H87" i="12"/>
  <c r="I87" i="12" s="1"/>
  <c r="G87" i="12"/>
  <c r="H86" i="12"/>
  <c r="I86" i="12" s="1"/>
  <c r="G86" i="12"/>
  <c r="H85" i="12"/>
  <c r="I85" i="12" s="1"/>
  <c r="G85" i="12"/>
  <c r="H84" i="12"/>
  <c r="I84" i="12" s="1"/>
  <c r="G84" i="12"/>
  <c r="H83" i="12"/>
  <c r="I83" i="12" s="1"/>
  <c r="G83" i="12"/>
  <c r="H82" i="12"/>
  <c r="I82" i="12" s="1"/>
  <c r="G82" i="12"/>
  <c r="H81" i="12"/>
  <c r="I81" i="12" s="1"/>
  <c r="G81" i="12"/>
  <c r="H80" i="12"/>
  <c r="I80" i="12" s="1"/>
  <c r="G80" i="12"/>
  <c r="H79" i="12"/>
  <c r="I79" i="12" s="1"/>
  <c r="G79" i="12"/>
  <c r="H78" i="12"/>
  <c r="I78" i="12" s="1"/>
  <c r="G78" i="12"/>
  <c r="H76" i="12"/>
  <c r="I76" i="12" s="1"/>
  <c r="G76" i="12"/>
  <c r="H75" i="12"/>
  <c r="I75" i="12" s="1"/>
  <c r="G75" i="12"/>
  <c r="H74" i="12"/>
  <c r="I74" i="12" s="1"/>
  <c r="G74" i="12"/>
  <c r="H73" i="12"/>
  <c r="I73" i="12" s="1"/>
  <c r="G73" i="12"/>
  <c r="H72" i="12"/>
  <c r="I72" i="12" s="1"/>
  <c r="G72" i="12"/>
  <c r="H71" i="12"/>
  <c r="I71" i="12" s="1"/>
  <c r="G71" i="12"/>
  <c r="H70" i="12"/>
  <c r="I70" i="12" s="1"/>
  <c r="G70" i="12"/>
  <c r="H66" i="12"/>
  <c r="I66" i="12" s="1"/>
  <c r="G66" i="12"/>
  <c r="H65" i="12"/>
  <c r="I65" i="12" s="1"/>
  <c r="G65" i="12"/>
  <c r="H64" i="12"/>
  <c r="I64" i="12" s="1"/>
  <c r="G64" i="12"/>
  <c r="H63" i="12"/>
  <c r="I63" i="12" s="1"/>
  <c r="G63" i="12"/>
  <c r="H62" i="12"/>
  <c r="I62" i="12" s="1"/>
  <c r="G62" i="12"/>
  <c r="H61" i="12"/>
  <c r="I61" i="12" s="1"/>
  <c r="G61" i="12"/>
  <c r="H60" i="12"/>
  <c r="I60" i="12" s="1"/>
  <c r="G60" i="12"/>
  <c r="H59" i="12"/>
  <c r="I59" i="12" s="1"/>
  <c r="G59" i="12"/>
  <c r="H58" i="12"/>
  <c r="I58" i="12" s="1"/>
  <c r="G58" i="12"/>
  <c r="H57" i="12"/>
  <c r="I57" i="12" s="1"/>
  <c r="G57" i="12"/>
  <c r="H56" i="12"/>
  <c r="I56" i="12" s="1"/>
  <c r="G56" i="12"/>
  <c r="H55" i="12"/>
  <c r="I55" i="12" s="1"/>
  <c r="G55" i="12"/>
  <c r="H54" i="12"/>
  <c r="I54" i="12" s="1"/>
  <c r="G54" i="12"/>
  <c r="H52" i="12"/>
  <c r="I52" i="12" s="1"/>
  <c r="G52" i="12"/>
  <c r="H51" i="12"/>
  <c r="I51" i="12" s="1"/>
  <c r="G51" i="12"/>
  <c r="I50" i="12"/>
  <c r="G50" i="12"/>
  <c r="H49" i="12"/>
  <c r="I49" i="12" s="1"/>
  <c r="G49" i="12"/>
  <c r="H48" i="12"/>
  <c r="I48" i="12" s="1"/>
  <c r="G48" i="12"/>
  <c r="H47" i="12"/>
  <c r="I47" i="12" s="1"/>
  <c r="G47" i="12"/>
  <c r="H46" i="12"/>
  <c r="I46" i="12" s="1"/>
  <c r="G46" i="12"/>
  <c r="H45" i="12"/>
  <c r="I45" i="12" s="1"/>
  <c r="G45" i="12"/>
  <c r="H44" i="12"/>
  <c r="I44" i="12" s="1"/>
  <c r="G44" i="12"/>
  <c r="H43" i="12"/>
  <c r="I43" i="12" s="1"/>
  <c r="G43" i="12"/>
  <c r="H42" i="12"/>
  <c r="I42" i="12" s="1"/>
  <c r="G42" i="12"/>
  <c r="H41" i="12"/>
  <c r="I41" i="12" s="1"/>
  <c r="G41" i="12"/>
  <c r="H40" i="12"/>
  <c r="I40" i="12" s="1"/>
  <c r="G40" i="12"/>
  <c r="H39" i="12"/>
  <c r="I39" i="12" s="1"/>
  <c r="G39" i="12"/>
  <c r="H38" i="12"/>
  <c r="I38" i="12" s="1"/>
  <c r="G38" i="12"/>
  <c r="H37" i="12"/>
  <c r="I37" i="12" s="1"/>
  <c r="G37" i="12"/>
  <c r="H36" i="12"/>
  <c r="I36" i="12" s="1"/>
  <c r="G36" i="12"/>
  <c r="H33" i="12"/>
  <c r="I33" i="12" s="1"/>
  <c r="G33" i="12"/>
  <c r="H32" i="12"/>
  <c r="G32" i="12"/>
  <c r="H31" i="12"/>
  <c r="I31" i="12" s="1"/>
  <c r="G31" i="12"/>
  <c r="H30" i="12"/>
  <c r="I30" i="12" s="1"/>
  <c r="G30" i="12"/>
  <c r="H28" i="12"/>
  <c r="I28" i="12" s="1"/>
  <c r="G28" i="12"/>
  <c r="H27" i="12"/>
  <c r="I27" i="12" s="1"/>
  <c r="G27" i="12"/>
  <c r="H26" i="12"/>
  <c r="I26" i="12" s="1"/>
  <c r="G26" i="12"/>
  <c r="H25" i="12"/>
  <c r="I25" i="12" s="1"/>
  <c r="G25" i="12"/>
  <c r="H24" i="12"/>
  <c r="I24" i="12" s="1"/>
  <c r="G24" i="12"/>
  <c r="H23" i="12"/>
  <c r="I23" i="12" s="1"/>
  <c r="G23" i="12"/>
  <c r="H22" i="12"/>
  <c r="I22" i="12" s="1"/>
  <c r="G22" i="12"/>
  <c r="H21" i="12"/>
  <c r="I21" i="12" s="1"/>
  <c r="G21" i="12"/>
  <c r="H20" i="12"/>
  <c r="I20" i="12" s="1"/>
  <c r="G20" i="12"/>
  <c r="H19" i="12"/>
  <c r="I19" i="12" s="1"/>
  <c r="G19" i="12"/>
  <c r="H18" i="12"/>
  <c r="I18" i="12" s="1"/>
  <c r="G18" i="12"/>
  <c r="H17" i="12"/>
  <c r="I17" i="12" s="1"/>
  <c r="G17" i="12"/>
  <c r="H16" i="12"/>
  <c r="I16" i="12" s="1"/>
  <c r="G16" i="12"/>
  <c r="H15" i="12"/>
  <c r="I15" i="12" s="1"/>
  <c r="G15" i="12"/>
  <c r="H14" i="12"/>
  <c r="I14" i="12" s="1"/>
  <c r="G14" i="12"/>
  <c r="H13" i="12"/>
  <c r="I13" i="12" s="1"/>
  <c r="G13" i="12"/>
  <c r="H12" i="12"/>
  <c r="I12" i="12" s="1"/>
  <c r="G12" i="12"/>
  <c r="H11" i="12"/>
  <c r="I11" i="12" s="1"/>
  <c r="G11" i="12"/>
  <c r="H10" i="12"/>
  <c r="I10" i="12" s="1"/>
  <c r="G10" i="12"/>
  <c r="H9" i="12"/>
  <c r="I9" i="12" s="1"/>
  <c r="G9" i="12"/>
  <c r="H8" i="12"/>
  <c r="I8" i="12" s="1"/>
  <c r="G8" i="12"/>
  <c r="H7" i="12"/>
  <c r="I7" i="12" s="1"/>
  <c r="G7" i="12"/>
  <c r="H3" i="12"/>
  <c r="I3" i="12" s="1"/>
  <c r="G3" i="12"/>
  <c r="H2" i="12"/>
  <c r="I2" i="12" s="1"/>
  <c r="G2" i="12"/>
  <c r="H29" i="3"/>
  <c r="I29" i="3" s="1"/>
  <c r="G29" i="3"/>
  <c r="H69" i="5"/>
  <c r="I69" i="5" s="1"/>
  <c r="G69" i="5"/>
  <c r="G55" i="3"/>
  <c r="H55" i="3"/>
  <c r="I55" i="3"/>
  <c r="G76" i="3"/>
  <c r="H76" i="3"/>
  <c r="I76" i="3"/>
  <c r="G77" i="3"/>
  <c r="H77" i="3"/>
  <c r="I77" i="3"/>
  <c r="H72" i="3"/>
  <c r="I72" i="3"/>
  <c r="G72" i="3"/>
  <c r="G57" i="3"/>
  <c r="H57" i="3"/>
  <c r="I57" i="3"/>
  <c r="H104" i="3"/>
  <c r="I104" i="3" s="1"/>
  <c r="G104" i="3"/>
  <c r="G53" i="3"/>
  <c r="H53" i="3"/>
  <c r="I53" i="3"/>
  <c r="G54" i="3"/>
  <c r="H54" i="3"/>
  <c r="I54" i="3"/>
  <c r="H19" i="5"/>
  <c r="I19" i="5" s="1"/>
  <c r="G19" i="5"/>
  <c r="H46" i="5"/>
  <c r="I46" i="5" s="1"/>
  <c r="G46" i="5"/>
  <c r="G14" i="3"/>
  <c r="H14" i="3"/>
  <c r="I14" i="3"/>
  <c r="U6" i="10"/>
  <c r="U7" i="10"/>
  <c r="U8" i="10"/>
  <c r="U9" i="10"/>
  <c r="U10" i="10"/>
  <c r="U11" i="10"/>
  <c r="AJ6" i="10"/>
  <c r="AJ7" i="10"/>
  <c r="AJ8" i="10"/>
  <c r="AJ9" i="10"/>
  <c r="AJ10" i="10"/>
  <c r="AJ11" i="10"/>
  <c r="X6" i="10"/>
  <c r="X7" i="10"/>
  <c r="X8" i="10"/>
  <c r="X9" i="10"/>
  <c r="X10" i="10"/>
  <c r="X11" i="10"/>
  <c r="AG6" i="10"/>
  <c r="AG7" i="10"/>
  <c r="AG8" i="10"/>
  <c r="AG9" i="10"/>
  <c r="AG10" i="10"/>
  <c r="AG11" i="10"/>
  <c r="AD6" i="10"/>
  <c r="AD7" i="10"/>
  <c r="AD8" i="10"/>
  <c r="AD9" i="10"/>
  <c r="AD10" i="10"/>
  <c r="AD11" i="10"/>
  <c r="AA6" i="10"/>
  <c r="AA7" i="10"/>
  <c r="AA8" i="10"/>
  <c r="AA9" i="10"/>
  <c r="AA10" i="10"/>
  <c r="AA11" i="10"/>
  <c r="R7" i="10"/>
  <c r="R8" i="10"/>
  <c r="R9" i="10"/>
  <c r="R10" i="10"/>
  <c r="R11" i="10"/>
  <c r="R6" i="10"/>
  <c r="O6" i="10"/>
  <c r="O7" i="10"/>
  <c r="O8" i="10"/>
  <c r="O9" i="10"/>
  <c r="O11" i="10"/>
  <c r="O10" i="10"/>
  <c r="C17" i="10"/>
  <c r="F17" i="10" s="1"/>
  <c r="C16" i="10"/>
  <c r="F16" i="10" s="1"/>
  <c r="C20" i="10"/>
  <c r="F20" i="10" s="1"/>
  <c r="F15" i="10"/>
  <c r="E21" i="10"/>
  <c r="E30" i="10"/>
  <c r="F29" i="10"/>
  <c r="F28" i="10"/>
  <c r="F27" i="10"/>
  <c r="F26" i="10"/>
  <c r="F25" i="10"/>
  <c r="F24" i="10"/>
  <c r="F19" i="10"/>
  <c r="F18" i="10"/>
  <c r="F7" i="10"/>
  <c r="F8" i="10"/>
  <c r="F9" i="10"/>
  <c r="F10" i="10"/>
  <c r="F11" i="10"/>
  <c r="F6" i="10"/>
  <c r="H2" i="3"/>
  <c r="I2" i="3" s="1"/>
  <c r="H86" i="3"/>
  <c r="H3" i="5"/>
  <c r="I3" i="5" s="1"/>
  <c r="H4" i="5"/>
  <c r="I4" i="5" s="1"/>
  <c r="H5" i="5"/>
  <c r="I5" i="5" s="1"/>
  <c r="H6" i="5"/>
  <c r="I6" i="5" s="1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H20" i="5"/>
  <c r="H21" i="5"/>
  <c r="H22" i="5"/>
  <c r="I22" i="5" s="1"/>
  <c r="H23" i="5"/>
  <c r="H24" i="5"/>
  <c r="I24" i="5" s="1"/>
  <c r="H25" i="5"/>
  <c r="H26" i="5"/>
  <c r="H27" i="5"/>
  <c r="H28" i="5"/>
  <c r="I28" i="5" s="1"/>
  <c r="H29" i="5"/>
  <c r="I29" i="5" s="1"/>
  <c r="H30" i="5"/>
  <c r="I30" i="5" s="1"/>
  <c r="H31" i="5"/>
  <c r="I31" i="5" s="1"/>
  <c r="H32" i="5"/>
  <c r="I32" i="5" s="1"/>
  <c r="H33" i="5"/>
  <c r="I33" i="5" s="1"/>
  <c r="H34" i="5"/>
  <c r="I34" i="5" s="1"/>
  <c r="H35" i="5"/>
  <c r="I35" i="5" s="1"/>
  <c r="H36" i="5"/>
  <c r="I36" i="5" s="1"/>
  <c r="H39" i="5"/>
  <c r="I39" i="5" s="1"/>
  <c r="H40" i="5"/>
  <c r="I40" i="5" s="1"/>
  <c r="H41" i="5"/>
  <c r="I41" i="5" s="1"/>
  <c r="H42" i="5"/>
  <c r="I42" i="5" s="1"/>
  <c r="H43" i="5"/>
  <c r="I43" i="5" s="1"/>
  <c r="H44" i="5"/>
  <c r="I44" i="5" s="1"/>
  <c r="H45" i="5"/>
  <c r="I45" i="5" s="1"/>
  <c r="H47" i="5"/>
  <c r="I47" i="5" s="1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I54" i="5" s="1"/>
  <c r="H55" i="5"/>
  <c r="I55" i="5" s="1"/>
  <c r="H56" i="5"/>
  <c r="I56" i="5" s="1"/>
  <c r="H57" i="5"/>
  <c r="I57" i="5" s="1"/>
  <c r="H58" i="5"/>
  <c r="I58" i="5" s="1"/>
  <c r="H59" i="5"/>
  <c r="I59" i="5" s="1"/>
  <c r="H60" i="5"/>
  <c r="I60" i="5" s="1"/>
  <c r="H61" i="5"/>
  <c r="I61" i="5" s="1"/>
  <c r="H62" i="5"/>
  <c r="I62" i="5" s="1"/>
  <c r="H63" i="5"/>
  <c r="I63" i="5" s="1"/>
  <c r="H64" i="5"/>
  <c r="I64" i="5" s="1"/>
  <c r="H65" i="5"/>
  <c r="I65" i="5" s="1"/>
  <c r="H66" i="5"/>
  <c r="I66" i="5" s="1"/>
  <c r="H67" i="5"/>
  <c r="I67" i="5" s="1"/>
  <c r="H68" i="5"/>
  <c r="I68" i="5" s="1"/>
  <c r="H70" i="5"/>
  <c r="I70" i="5" s="1"/>
  <c r="H71" i="5"/>
  <c r="I71" i="5" s="1"/>
  <c r="H72" i="5"/>
  <c r="I72" i="5" s="1"/>
  <c r="H73" i="5"/>
  <c r="I73" i="5" s="1"/>
  <c r="H75" i="5"/>
  <c r="I75" i="5" s="1"/>
  <c r="H76" i="5"/>
  <c r="I76" i="5" s="1"/>
  <c r="H77" i="5"/>
  <c r="I77" i="5" s="1"/>
  <c r="H78" i="5"/>
  <c r="I78" i="5" s="1"/>
  <c r="H79" i="5"/>
  <c r="I79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I86" i="5" s="1"/>
  <c r="H87" i="5"/>
  <c r="I87" i="5" s="1"/>
  <c r="H88" i="5"/>
  <c r="I88" i="5" s="1"/>
  <c r="H90" i="5"/>
  <c r="I90" i="5" s="1"/>
  <c r="H91" i="5"/>
  <c r="I91" i="5" s="1"/>
  <c r="H92" i="5"/>
  <c r="I92" i="5" s="1"/>
  <c r="H93" i="5"/>
  <c r="I93" i="5" s="1"/>
  <c r="H94" i="5"/>
  <c r="I94" i="5" s="1"/>
  <c r="H2" i="5"/>
  <c r="I2" i="5" s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9" i="5"/>
  <c r="G40" i="5"/>
  <c r="G41" i="5"/>
  <c r="G42" i="5"/>
  <c r="G43" i="5"/>
  <c r="G44" i="5"/>
  <c r="G45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70" i="5"/>
  <c r="G71" i="5"/>
  <c r="G72" i="5"/>
  <c r="G73" i="5"/>
  <c r="G75" i="5"/>
  <c r="G76" i="5"/>
  <c r="G77" i="5"/>
  <c r="G78" i="5"/>
  <c r="G79" i="5"/>
  <c r="G81" i="5"/>
  <c r="G82" i="5"/>
  <c r="G83" i="5"/>
  <c r="G84" i="5"/>
  <c r="G85" i="5"/>
  <c r="G86" i="5"/>
  <c r="G87" i="5"/>
  <c r="G88" i="5"/>
  <c r="G90" i="5"/>
  <c r="G91" i="5"/>
  <c r="G2" i="5"/>
  <c r="G92" i="5"/>
  <c r="G93" i="5"/>
  <c r="G94" i="5"/>
  <c r="E6" i="10"/>
  <c r="E12" i="10" s="1"/>
  <c r="D16" i="9"/>
  <c r="D15" i="9"/>
  <c r="D14" i="9"/>
  <c r="D13" i="9"/>
  <c r="D12" i="9"/>
  <c r="D11" i="9"/>
  <c r="D10" i="9"/>
  <c r="D9" i="9"/>
  <c r="D8" i="9"/>
  <c r="D5" i="9"/>
  <c r="D6" i="9"/>
  <c r="D7" i="9"/>
  <c r="D3" i="9"/>
  <c r="D4" i="9"/>
  <c r="D2" i="9"/>
  <c r="G7" i="3"/>
  <c r="H7" i="3"/>
  <c r="I7" i="3"/>
  <c r="L75" i="5"/>
  <c r="L76" i="5"/>
  <c r="L77" i="5"/>
  <c r="L78" i="5"/>
  <c r="L79" i="5"/>
  <c r="L81" i="5"/>
  <c r="L84" i="5"/>
  <c r="L85" i="5"/>
  <c r="L86" i="5"/>
  <c r="L87" i="5"/>
  <c r="G32" i="3"/>
  <c r="G31" i="3"/>
  <c r="I8" i="6"/>
  <c r="I7" i="6"/>
  <c r="G95" i="5"/>
  <c r="I89" i="5"/>
  <c r="I27" i="5"/>
  <c r="I26" i="5"/>
  <c r="I25" i="5"/>
  <c r="I23" i="5"/>
  <c r="I21" i="5"/>
  <c r="I20" i="5"/>
  <c r="I18" i="5"/>
  <c r="G35" i="6"/>
  <c r="H35" i="6"/>
  <c r="I35" i="6" s="1"/>
  <c r="G36" i="6"/>
  <c r="H36" i="6"/>
  <c r="I36" i="6"/>
  <c r="G37" i="6"/>
  <c r="H37" i="6"/>
  <c r="I37" i="6"/>
  <c r="G25" i="6"/>
  <c r="H25" i="6"/>
  <c r="I25" i="6" s="1"/>
  <c r="G26" i="6"/>
  <c r="H26" i="6"/>
  <c r="I26" i="6"/>
  <c r="G27" i="6"/>
  <c r="H27" i="6"/>
  <c r="I27" i="6" s="1"/>
  <c r="G19" i="6"/>
  <c r="H19" i="6"/>
  <c r="I19" i="6" s="1"/>
  <c r="G15" i="6"/>
  <c r="H15" i="6"/>
  <c r="I15" i="6"/>
  <c r="G12" i="6"/>
  <c r="H12" i="6"/>
  <c r="I12" i="6" s="1"/>
  <c r="G6" i="6"/>
  <c r="H6" i="6"/>
  <c r="I6" i="6"/>
  <c r="G3" i="6"/>
  <c r="H3" i="6"/>
  <c r="I3" i="6"/>
  <c r="G4" i="6"/>
  <c r="H4" i="6"/>
  <c r="I4" i="6" s="1"/>
  <c r="H3" i="3"/>
  <c r="G2" i="3"/>
  <c r="H5" i="3"/>
  <c r="G5" i="3"/>
  <c r="G3" i="3"/>
  <c r="H71" i="3"/>
  <c r="I71" i="3" s="1"/>
  <c r="G71" i="3"/>
  <c r="H137" i="3"/>
  <c r="I137" i="3" s="1"/>
  <c r="H138" i="3"/>
  <c r="I138" i="3" s="1"/>
  <c r="G137" i="3"/>
  <c r="G138" i="3"/>
  <c r="G139" i="3"/>
  <c r="H124" i="3"/>
  <c r="I124" i="3" s="1"/>
  <c r="H125" i="3"/>
  <c r="I125" i="3" s="1"/>
  <c r="H126" i="3"/>
  <c r="I126" i="3" s="1"/>
  <c r="H127" i="3"/>
  <c r="I127" i="3" s="1"/>
  <c r="H128" i="3"/>
  <c r="I128" i="3" s="1"/>
  <c r="H129" i="3"/>
  <c r="I129" i="3" s="1"/>
  <c r="H130" i="3"/>
  <c r="I130" i="3" s="1"/>
  <c r="H131" i="3"/>
  <c r="I131" i="3" s="1"/>
  <c r="H132" i="3"/>
  <c r="I132" i="3" s="1"/>
  <c r="H133" i="3"/>
  <c r="I133" i="3" s="1"/>
  <c r="H134" i="3"/>
  <c r="I134" i="3" s="1"/>
  <c r="H135" i="3"/>
  <c r="I135" i="3" s="1"/>
  <c r="H136" i="3"/>
  <c r="I136" i="3" s="1"/>
  <c r="G124" i="3"/>
  <c r="G125" i="3"/>
  <c r="G126" i="3"/>
  <c r="G127" i="3"/>
  <c r="G128" i="3"/>
  <c r="G129" i="3"/>
  <c r="G130" i="3"/>
  <c r="G131" i="3"/>
  <c r="G132" i="3"/>
  <c r="G133" i="3"/>
  <c r="G134" i="3"/>
  <c r="G135" i="3"/>
  <c r="H115" i="3"/>
  <c r="I115" i="3" s="1"/>
  <c r="H116" i="3"/>
  <c r="I116" i="3" s="1"/>
  <c r="H117" i="3"/>
  <c r="I117" i="3" s="1"/>
  <c r="H118" i="3"/>
  <c r="I118" i="3" s="1"/>
  <c r="H119" i="3"/>
  <c r="I119" i="3" s="1"/>
  <c r="H120" i="3"/>
  <c r="I120" i="3" s="1"/>
  <c r="H121" i="3"/>
  <c r="I121" i="3" s="1"/>
  <c r="H122" i="3"/>
  <c r="I122" i="3" s="1"/>
  <c r="G115" i="3"/>
  <c r="G116" i="3"/>
  <c r="G117" i="3"/>
  <c r="G118" i="3"/>
  <c r="G119" i="3"/>
  <c r="G120" i="3"/>
  <c r="G121" i="3"/>
  <c r="G122" i="3"/>
  <c r="H59" i="3"/>
  <c r="I59" i="3" s="1"/>
  <c r="G59" i="3"/>
  <c r="H69" i="3"/>
  <c r="I69" i="3" s="1"/>
  <c r="G69" i="3"/>
  <c r="H78" i="3"/>
  <c r="I78" i="3" s="1"/>
  <c r="G78" i="3"/>
  <c r="H58" i="3"/>
  <c r="I58" i="3" s="1"/>
  <c r="G58" i="3"/>
  <c r="G62" i="3"/>
  <c r="H62" i="3"/>
  <c r="I62" i="3" s="1"/>
  <c r="G87" i="3"/>
  <c r="H87" i="3"/>
  <c r="I87" i="3" s="1"/>
  <c r="G88" i="3"/>
  <c r="H88" i="3"/>
  <c r="I88" i="3" s="1"/>
  <c r="G89" i="3"/>
  <c r="H89" i="3"/>
  <c r="I89" i="3" s="1"/>
  <c r="G90" i="3"/>
  <c r="H90" i="3"/>
  <c r="I90" i="3" s="1"/>
  <c r="G92" i="3"/>
  <c r="H92" i="3"/>
  <c r="I92" i="3" s="1"/>
  <c r="G93" i="3"/>
  <c r="H93" i="3"/>
  <c r="I93" i="3" s="1"/>
  <c r="G94" i="3"/>
  <c r="H94" i="3"/>
  <c r="I94" i="3" s="1"/>
  <c r="G95" i="3"/>
  <c r="H95" i="3"/>
  <c r="I95" i="3" s="1"/>
  <c r="G96" i="3"/>
  <c r="H96" i="3"/>
  <c r="I96" i="3" s="1"/>
  <c r="G68" i="3"/>
  <c r="H68" i="3"/>
  <c r="I68" i="3" s="1"/>
  <c r="G97" i="3"/>
  <c r="H97" i="3"/>
  <c r="I97" i="3" s="1"/>
  <c r="G98" i="3"/>
  <c r="H98" i="3"/>
  <c r="I98" i="3" s="1"/>
  <c r="G99" i="3"/>
  <c r="H99" i="3"/>
  <c r="I99" i="3" s="1"/>
  <c r="G100" i="3"/>
  <c r="H100" i="3"/>
  <c r="I100" i="3" s="1"/>
  <c r="G101" i="3"/>
  <c r="H101" i="3"/>
  <c r="I101" i="3" s="1"/>
  <c r="G102" i="3"/>
  <c r="H102" i="3"/>
  <c r="I102" i="3" s="1"/>
  <c r="G111" i="3"/>
  <c r="H111" i="3"/>
  <c r="I111" i="3" s="1"/>
  <c r="G112" i="3"/>
  <c r="H112" i="3"/>
  <c r="I112" i="3" s="1"/>
  <c r="G113" i="3"/>
  <c r="H113" i="3"/>
  <c r="I113" i="3" s="1"/>
  <c r="G114" i="3"/>
  <c r="H114" i="3"/>
  <c r="I114" i="3" s="1"/>
  <c r="G123" i="3"/>
  <c r="H123" i="3"/>
  <c r="I123" i="3" s="1"/>
  <c r="G136" i="3"/>
  <c r="H139" i="3"/>
  <c r="I139" i="3" s="1"/>
  <c r="G140" i="3"/>
  <c r="H140" i="3"/>
  <c r="I140" i="3" s="1"/>
  <c r="G141" i="3"/>
  <c r="H141" i="3"/>
  <c r="I141" i="3" s="1"/>
  <c r="G142" i="3"/>
  <c r="H142" i="3"/>
  <c r="I142" i="3" s="1"/>
  <c r="G143" i="3"/>
  <c r="H143" i="3"/>
  <c r="I143" i="3" s="1"/>
  <c r="G106" i="3"/>
  <c r="H106" i="3"/>
  <c r="I106" i="3" s="1"/>
  <c r="G107" i="3"/>
  <c r="H107" i="3"/>
  <c r="I107" i="3" s="1"/>
  <c r="G108" i="3"/>
  <c r="H108" i="3"/>
  <c r="I108" i="3" s="1"/>
  <c r="G109" i="3"/>
  <c r="H109" i="3"/>
  <c r="I109" i="3" s="1"/>
  <c r="G110" i="3"/>
  <c r="H110" i="3"/>
  <c r="I110" i="3" s="1"/>
  <c r="G144" i="3"/>
  <c r="H144" i="3"/>
  <c r="I144" i="3" s="1"/>
  <c r="G145" i="3"/>
  <c r="H145" i="3"/>
  <c r="I145" i="3" s="1"/>
  <c r="G146" i="3"/>
  <c r="H146" i="3"/>
  <c r="I146" i="3" s="1"/>
  <c r="G22" i="3"/>
  <c r="H22" i="3"/>
  <c r="I22" i="3" s="1"/>
  <c r="G148" i="3"/>
  <c r="H148" i="3"/>
  <c r="I148" i="3" s="1"/>
  <c r="G47" i="3"/>
  <c r="H47" i="3"/>
  <c r="I47" i="3" s="1"/>
  <c r="G48" i="3"/>
  <c r="H48" i="3"/>
  <c r="I48" i="3" s="1"/>
  <c r="G49" i="3"/>
  <c r="I49" i="3"/>
  <c r="G50" i="3"/>
  <c r="H50" i="3"/>
  <c r="I50" i="3" s="1"/>
  <c r="G51" i="3"/>
  <c r="H51" i="3"/>
  <c r="I51" i="3" s="1"/>
  <c r="G44" i="3"/>
  <c r="H44" i="3"/>
  <c r="I44" i="3" s="1"/>
  <c r="G45" i="3"/>
  <c r="H45" i="3"/>
  <c r="I45" i="3" s="1"/>
  <c r="G41" i="3"/>
  <c r="H41" i="3"/>
  <c r="I41" i="3" s="1"/>
  <c r="G42" i="3"/>
  <c r="H42" i="3"/>
  <c r="I42" i="3" s="1"/>
  <c r="I12" i="10" l="1"/>
  <c r="I21" i="10"/>
  <c r="I30" i="10"/>
  <c r="F30" i="10"/>
  <c r="F12" i="10"/>
  <c r="F21" i="10"/>
  <c r="G79" i="3"/>
  <c r="H79" i="3"/>
  <c r="I79" i="3" s="1"/>
  <c r="G80" i="3"/>
  <c r="H80" i="3"/>
  <c r="I80" i="3" s="1"/>
  <c r="G81" i="3"/>
  <c r="H81" i="3"/>
  <c r="I81" i="3" s="1"/>
  <c r="G6" i="3"/>
  <c r="H6" i="3"/>
  <c r="I6" i="3" s="1"/>
  <c r="H31" i="3"/>
  <c r="I31" i="3" s="1"/>
  <c r="H32" i="3"/>
  <c r="I32" i="3" s="1"/>
  <c r="H33" i="3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G37" i="3"/>
  <c r="G38" i="3"/>
  <c r="G35" i="3"/>
  <c r="G33" i="3"/>
  <c r="G61" i="3"/>
  <c r="H61" i="3"/>
  <c r="I61" i="3" s="1"/>
  <c r="G30" i="3"/>
  <c r="G34" i="3"/>
  <c r="G36" i="3"/>
  <c r="G39" i="3"/>
  <c r="G12" i="3"/>
  <c r="G16" i="3"/>
  <c r="H16" i="3"/>
  <c r="I16" i="3" s="1"/>
  <c r="G103" i="3"/>
  <c r="H103" i="3"/>
  <c r="I103" i="3" s="1"/>
  <c r="H15" i="3"/>
  <c r="I15" i="3" s="1"/>
  <c r="G15" i="3"/>
  <c r="H13" i="3"/>
  <c r="I13" i="3" s="1"/>
  <c r="G13" i="3"/>
  <c r="H12" i="3"/>
  <c r="I12" i="3" s="1"/>
  <c r="H11" i="3"/>
  <c r="I11" i="3" s="1"/>
  <c r="G11" i="3"/>
  <c r="G27" i="3"/>
  <c r="H27" i="3"/>
  <c r="I27" i="3" s="1"/>
  <c r="G28" i="3"/>
  <c r="H28" i="3"/>
  <c r="I28" i="3" s="1"/>
  <c r="H30" i="3"/>
  <c r="I30" i="3" s="1"/>
  <c r="G40" i="3"/>
  <c r="H40" i="3"/>
  <c r="I40" i="3" s="1"/>
  <c r="G43" i="3"/>
  <c r="H43" i="3"/>
  <c r="I43" i="3" s="1"/>
  <c r="G46" i="3"/>
  <c r="H46" i="3"/>
  <c r="I46" i="3" s="1"/>
  <c r="G52" i="3"/>
  <c r="H52" i="3"/>
  <c r="I52" i="3" s="1"/>
  <c r="G56" i="3"/>
  <c r="H56" i="3"/>
  <c r="I56" i="3" s="1"/>
  <c r="G60" i="3"/>
  <c r="H60" i="3"/>
  <c r="I60" i="3" s="1"/>
  <c r="G63" i="3"/>
  <c r="H63" i="3"/>
  <c r="I63" i="3" s="1"/>
  <c r="G64" i="3"/>
  <c r="H64" i="3"/>
  <c r="I64" i="3" s="1"/>
  <c r="G70" i="3"/>
  <c r="H70" i="3"/>
  <c r="I70" i="3" s="1"/>
  <c r="G73" i="3"/>
  <c r="H73" i="3"/>
  <c r="I73" i="3" s="1"/>
  <c r="G74" i="3"/>
  <c r="H74" i="3"/>
  <c r="I74" i="3" s="1"/>
  <c r="G82" i="3"/>
  <c r="H82" i="3"/>
  <c r="I82" i="3" s="1"/>
  <c r="G83" i="3"/>
  <c r="H83" i="3"/>
  <c r="I83" i="3" s="1"/>
  <c r="G84" i="3"/>
  <c r="H84" i="3"/>
  <c r="I84" i="3" s="1"/>
  <c r="G85" i="3"/>
  <c r="H85" i="3"/>
  <c r="I85" i="3" s="1"/>
  <c r="G86" i="3"/>
  <c r="I86" i="3"/>
  <c r="G105" i="3"/>
  <c r="H105" i="3"/>
  <c r="I105" i="3" s="1"/>
  <c r="G147" i="3"/>
  <c r="H147" i="3"/>
  <c r="I147" i="3" s="1"/>
  <c r="G149" i="3"/>
  <c r="H149" i="3"/>
  <c r="I149" i="3" s="1"/>
  <c r="I3" i="3"/>
  <c r="H4" i="3"/>
  <c r="I4" i="3" s="1"/>
  <c r="I5" i="3"/>
  <c r="H8" i="3"/>
  <c r="I8" i="3" s="1"/>
  <c r="H9" i="3"/>
  <c r="I9" i="3" s="1"/>
  <c r="H10" i="3"/>
  <c r="I10" i="3" s="1"/>
  <c r="H17" i="3"/>
  <c r="I17" i="3" s="1"/>
  <c r="H18" i="3"/>
  <c r="I18" i="3" s="1"/>
  <c r="H19" i="3"/>
  <c r="I19" i="3" s="1"/>
  <c r="H20" i="3"/>
  <c r="I20" i="3" s="1"/>
  <c r="H21" i="3"/>
  <c r="I21" i="3" s="1"/>
  <c r="H23" i="3"/>
  <c r="I23" i="3" s="1"/>
  <c r="H24" i="3"/>
  <c r="I24" i="3" s="1"/>
  <c r="H25" i="3"/>
  <c r="I25" i="3" s="1"/>
  <c r="H26" i="3"/>
  <c r="I26" i="3" s="1"/>
  <c r="G4" i="3"/>
  <c r="G8" i="3"/>
  <c r="G9" i="3"/>
  <c r="G10" i="3"/>
  <c r="G17" i="3"/>
  <c r="G18" i="3"/>
  <c r="G19" i="3"/>
  <c r="G20" i="3"/>
  <c r="G21" i="3"/>
  <c r="G23" i="3"/>
  <c r="G24" i="3"/>
  <c r="G25" i="3"/>
  <c r="G26" i="3"/>
</calcChain>
</file>

<file path=xl/sharedStrings.xml><?xml version="1.0" encoding="utf-8"?>
<sst xmlns="http://schemas.openxmlformats.org/spreadsheetml/2006/main" count="4008" uniqueCount="594">
  <si>
    <t>No.</t>
  </si>
  <si>
    <t>Full Name</t>
  </si>
  <si>
    <t>Initials</t>
  </si>
  <si>
    <t>Division</t>
  </si>
  <si>
    <t>Position</t>
  </si>
  <si>
    <t>Model</t>
  </si>
  <si>
    <t>Brand</t>
  </si>
  <si>
    <t>Year Acquired/Transferred</t>
  </si>
  <si>
    <t>Years in service</t>
  </si>
  <si>
    <t>Serial Number</t>
  </si>
  <si>
    <t>Method of Procurement</t>
  </si>
  <si>
    <t>Current Custodian</t>
  </si>
  <si>
    <t>Remarks</t>
  </si>
  <si>
    <t>Editha T. Ramos</t>
  </si>
  <si>
    <t>ETR</t>
  </si>
  <si>
    <t>EPRED</t>
  </si>
  <si>
    <t>Chief</t>
  </si>
  <si>
    <t>Predator Helios 300</t>
  </si>
  <si>
    <t>NHQAUSP00111116A333400</t>
  </si>
  <si>
    <t>Through LFP</t>
  </si>
  <si>
    <t>Macbook Pro 13 Inch M2</t>
  </si>
  <si>
    <t>Roselle L. Ibuna</t>
  </si>
  <si>
    <t>RLI</t>
  </si>
  <si>
    <t>OIC-Supervising Science Research Specialist</t>
  </si>
  <si>
    <t>CJ7KXX9JKD</t>
  </si>
  <si>
    <t>TUF</t>
  </si>
  <si>
    <t>L8NRCX029705339</t>
  </si>
  <si>
    <t>Transfer to EVIMD (c/o Jenny Ramos)</t>
  </si>
  <si>
    <t>Suzanne M. Pantaleon</t>
  </si>
  <si>
    <t>Joan C. Escalona</t>
  </si>
  <si>
    <t>JCE</t>
  </si>
  <si>
    <t>Supervising Science Research Specialist</t>
  </si>
  <si>
    <t>Predator Helios 16</t>
  </si>
  <si>
    <t>NHQNXSP00141300BAC7600</t>
  </si>
  <si>
    <t>Mary Ann M. Fernando</t>
  </si>
  <si>
    <t>MJL6KWYPVW</t>
  </si>
  <si>
    <t>Steven Ivan G. Caiña</t>
  </si>
  <si>
    <t>SIGC</t>
  </si>
  <si>
    <t>OIC-Senior Science Research Specialist</t>
  </si>
  <si>
    <t>Macbook Pro 14 Inch M2</t>
  </si>
  <si>
    <t>D6KCXF4R9D</t>
  </si>
  <si>
    <t>NHQAUSPOO1111177763400</t>
  </si>
  <si>
    <t>Sheila C. Gadil</t>
  </si>
  <si>
    <t>NHQAUSP0011111767D3400</t>
  </si>
  <si>
    <t>Carlo S. Arriola</t>
  </si>
  <si>
    <t>NHQAUSPOO11111720E3400</t>
  </si>
  <si>
    <t>Argy E. Gatdula</t>
  </si>
  <si>
    <t>NHQC1SP002147275433400</t>
  </si>
  <si>
    <t>Benlie Mae B. Antonio</t>
  </si>
  <si>
    <t>L8NRCX029725337</t>
  </si>
  <si>
    <t>Ara Jane C. Canaria</t>
  </si>
  <si>
    <t>Aaron R. Premacio</t>
  </si>
  <si>
    <t>ARP</t>
  </si>
  <si>
    <t>Senior Science Research Specialist</t>
  </si>
  <si>
    <t>NHQNXSP00141300C387600</t>
  </si>
  <si>
    <t>Michael Angelo O. Guarin</t>
  </si>
  <si>
    <t>L8NRCX02972133B</t>
  </si>
  <si>
    <t>Kristine Joy. B. Villaluz</t>
  </si>
  <si>
    <t>Celedonio Tiu Salle</t>
  </si>
  <si>
    <t>CTS</t>
  </si>
  <si>
    <t>NHQNXSP00141300C097600</t>
  </si>
  <si>
    <t>Erwin-Lou D. Peregrino</t>
  </si>
  <si>
    <t>EDP</t>
  </si>
  <si>
    <t>Science Research Specialist II</t>
  </si>
  <si>
    <t>NHQNXSP00141300A5D7600</t>
  </si>
  <si>
    <t>NHQNXSP0014130097B7600</t>
  </si>
  <si>
    <t>James C. Francisco</t>
  </si>
  <si>
    <t>Catherine C. Cadiz</t>
  </si>
  <si>
    <t>CCC</t>
  </si>
  <si>
    <t>NHQNXSP00141300BDE7600</t>
  </si>
  <si>
    <t>Reserve</t>
  </si>
  <si>
    <t>Reymund G. Fiecas - Lserv to be deploy</t>
  </si>
  <si>
    <t>Chesca Mie A. Gaduyon</t>
  </si>
  <si>
    <t>CMAG</t>
  </si>
  <si>
    <t>CWDKH2WLT6</t>
  </si>
  <si>
    <t>Marienelle S. Santos</t>
  </si>
  <si>
    <t>MSS</t>
  </si>
  <si>
    <t>SHXJLD2TQ1WFV</t>
  </si>
  <si>
    <t>Macbook Air 13 inch M1</t>
  </si>
  <si>
    <t>Hannah Isabel L. Cumpas</t>
  </si>
  <si>
    <t>Daniel Vincent P. De Guzman</t>
  </si>
  <si>
    <t>DVDG</t>
  </si>
  <si>
    <t>NHQNXSP00141300C8C7600</t>
  </si>
  <si>
    <t>Von Jari A. Anievas</t>
  </si>
  <si>
    <t>VJA</t>
  </si>
  <si>
    <t>Science Research Specialist I</t>
  </si>
  <si>
    <t>Chester Syrill J. De Castro</t>
  </si>
  <si>
    <t>CSJDC</t>
  </si>
  <si>
    <t>NHQAUSP001111167B03400</t>
  </si>
  <si>
    <t>Lserv to be deploy</t>
  </si>
  <si>
    <t>Marvin B. Bahia</t>
  </si>
  <si>
    <t>MBB</t>
  </si>
  <si>
    <t>NHQAUSP001111172DB3400</t>
  </si>
  <si>
    <t>Christine Joy M. Lamzon</t>
  </si>
  <si>
    <t>CJML</t>
  </si>
  <si>
    <t>Administrative Aide VI</t>
  </si>
  <si>
    <t>NHQNXSP001413009A37600</t>
  </si>
  <si>
    <t>Daniel Collin G. Jornales</t>
  </si>
  <si>
    <t>DCGJ</t>
  </si>
  <si>
    <t>EPMPD</t>
  </si>
  <si>
    <t>Chief Science Research Specialist</t>
  </si>
  <si>
    <t>CGQJ1YYVKC</t>
  </si>
  <si>
    <t>Hans Christer A. Arcilla</t>
  </si>
  <si>
    <t>NHQNXSP00141300AD77600</t>
  </si>
  <si>
    <t>Mark Adrian A. Aclon</t>
  </si>
  <si>
    <t>Cynthia P.J. Mañalac</t>
  </si>
  <si>
    <t>CPJM</t>
  </si>
  <si>
    <t>Travelmate</t>
  </si>
  <si>
    <t xml:space="preserve"> </t>
  </si>
  <si>
    <t>ITMS</t>
  </si>
  <si>
    <t>Judy Ann P. Santos</t>
  </si>
  <si>
    <t>For Transfer</t>
  </si>
  <si>
    <t>Apple</t>
  </si>
  <si>
    <t>Christian Harris T. Hernaez</t>
  </si>
  <si>
    <t>CHTH</t>
  </si>
  <si>
    <t>OIC Supervising Science Research Specialist</t>
  </si>
  <si>
    <t>XHW7KY7CQV</t>
  </si>
  <si>
    <t>Macbook Air 13 inch 2017</t>
  </si>
  <si>
    <t>FVFY486Z1WK</t>
  </si>
  <si>
    <t>For RTS</t>
  </si>
  <si>
    <t>NHQNXSP00141300B817600</t>
  </si>
  <si>
    <t>Transferred to Helen C. Roldan (FS-AD)</t>
  </si>
  <si>
    <t>FX506ll</t>
  </si>
  <si>
    <t>L8NRCX029715333</t>
  </si>
  <si>
    <t>Deffective</t>
  </si>
  <si>
    <t>ASPIRE 3 i5</t>
  </si>
  <si>
    <t>NXHNSSP0029500422E7600</t>
  </si>
  <si>
    <t>Dave Angelo T. Cabalteja</t>
  </si>
  <si>
    <t>DATC</t>
  </si>
  <si>
    <t>NHQAUSPOO111117A733400</t>
  </si>
  <si>
    <t>NHQNXSP001413009F07600</t>
  </si>
  <si>
    <t>Ronald Gregorio P. Gudoy</t>
  </si>
  <si>
    <t>NXVPQSP01F1373D0177600</t>
  </si>
  <si>
    <t>Dave Angelo M. Cabalteja</t>
  </si>
  <si>
    <t>Vittorio Leif Ericson J. Santos</t>
  </si>
  <si>
    <t>VLEJS</t>
  </si>
  <si>
    <t>LCJ397KV36</t>
  </si>
  <si>
    <t>NHQNXSP001413009A07600</t>
  </si>
  <si>
    <t>Leonico M. Laquian</t>
  </si>
  <si>
    <t>NXVHLSP00892206F8F2600</t>
  </si>
  <si>
    <t>Mary Mae C. Hernandez</t>
  </si>
  <si>
    <t>MMCH</t>
  </si>
  <si>
    <t>NHQAUSPOO1114013DB3400</t>
  </si>
  <si>
    <t>NHQNXSP00141300B807600</t>
  </si>
  <si>
    <t>Transferred to Mary Rose Estacio (FS-AD)</t>
  </si>
  <si>
    <t>Mark Jezekiah O. Abalos</t>
  </si>
  <si>
    <t>MJOA</t>
  </si>
  <si>
    <t>NJ6QX2L4KY</t>
  </si>
  <si>
    <t>NHQAUSPOO11111690C3400</t>
  </si>
  <si>
    <t>Marivic P. Pajarillo</t>
  </si>
  <si>
    <t>MPP</t>
  </si>
  <si>
    <t>Administrative Aide III</t>
  </si>
  <si>
    <t>NHQAUSPOO111116DEF33400</t>
  </si>
  <si>
    <t>L8NRCX029748339</t>
  </si>
  <si>
    <t>Dorella Maye T. Perlas</t>
  </si>
  <si>
    <t>DMTP</t>
  </si>
  <si>
    <t>Acer</t>
  </si>
  <si>
    <t>NHQAUSPOO1114020e43400</t>
  </si>
  <si>
    <t>Jimwel B. Balunday</t>
  </si>
  <si>
    <t>JBB</t>
  </si>
  <si>
    <t>EPSMD</t>
  </si>
  <si>
    <t>NHQNXSP00141300C1D7600</t>
  </si>
  <si>
    <t>Melchor Ornopia</t>
  </si>
  <si>
    <t>For Repair</t>
  </si>
  <si>
    <t>NHQNXSP001413009E17600</t>
  </si>
  <si>
    <t>Raven Alexis B. Cruz</t>
  </si>
  <si>
    <t>NHQNXSP00141300C677600</t>
  </si>
  <si>
    <t>Rasmin Abby M. Salazar</t>
  </si>
  <si>
    <t>Anabel M. Elmaga</t>
  </si>
  <si>
    <t>AME</t>
  </si>
  <si>
    <t>GPQN9XV4QC</t>
  </si>
  <si>
    <t>NHQAUSP0011111745A3400</t>
  </si>
  <si>
    <t>Arnel Angelo P. Revilla</t>
  </si>
  <si>
    <t>Victorino Getalado Jr.</t>
  </si>
  <si>
    <t>VGJ</t>
  </si>
  <si>
    <t>WXVY320NV7</t>
  </si>
  <si>
    <t>Mac Mini Desktop</t>
  </si>
  <si>
    <t>C07JC0AGQ6NY</t>
  </si>
  <si>
    <t>Transfer to EPMPD</t>
  </si>
  <si>
    <t>NXVPQSP01F1373CF497600</t>
  </si>
  <si>
    <t>Leni Kate T. Barral</t>
  </si>
  <si>
    <t>Johndel G. Manalo</t>
  </si>
  <si>
    <t>Paul Joshua A. Martinez</t>
  </si>
  <si>
    <t>NXVPQSP01F1373CF1D7600</t>
  </si>
  <si>
    <t>Marc M. Martinez</t>
  </si>
  <si>
    <t>MMM</t>
  </si>
  <si>
    <t>NHQAUSP0011111768B3400</t>
  </si>
  <si>
    <t>John Levi M. Mecca</t>
  </si>
  <si>
    <t>JLMM</t>
  </si>
  <si>
    <t>XK3YXN04MW</t>
  </si>
  <si>
    <t>Mara Camille C. Galos</t>
  </si>
  <si>
    <t>MCCG</t>
  </si>
  <si>
    <t>KGR7FTXFDY</t>
  </si>
  <si>
    <t>Macbook Air 13 inch M2</t>
  </si>
  <si>
    <t>SHXJLD3QB1WFV</t>
  </si>
  <si>
    <t>Richard S. Asaytuno</t>
  </si>
  <si>
    <t>NHQAUSPOO111116B3E3400</t>
  </si>
  <si>
    <t>Jewel R. Balon</t>
  </si>
  <si>
    <t>Gamit NED</t>
  </si>
  <si>
    <t>Dante L. Castillo</t>
  </si>
  <si>
    <t>DLC</t>
  </si>
  <si>
    <t>No issued Laptop</t>
  </si>
  <si>
    <t>AAPR</t>
  </si>
  <si>
    <t>C07JL110Q6NY</t>
  </si>
  <si>
    <t>Karl Joshua A. Abordo</t>
  </si>
  <si>
    <t>Angela Maureen Panapanaan</t>
  </si>
  <si>
    <t>AMP</t>
  </si>
  <si>
    <t>HXJLD9R51WFV</t>
  </si>
  <si>
    <t>C07JC0ACQ6NY</t>
  </si>
  <si>
    <t>Aira D. Baluyut</t>
  </si>
  <si>
    <t>ADB</t>
  </si>
  <si>
    <t>CA-NO-23-4970 / XPQMJQRHH3</t>
  </si>
  <si>
    <t>G763J4WV32</t>
  </si>
  <si>
    <t>Carl G. Monsalud</t>
  </si>
  <si>
    <t>Rusty Mar G. Saclusa</t>
  </si>
  <si>
    <t>RMGS</t>
  </si>
  <si>
    <t>NHQNXSP00141300A417600</t>
  </si>
  <si>
    <t>RABC</t>
  </si>
  <si>
    <t>w/ laptop c/o JBB</t>
  </si>
  <si>
    <t>Alejandre C. Montemayo</t>
  </si>
  <si>
    <t>ACM</t>
  </si>
  <si>
    <t>NHQNXSP00141300BC07600</t>
  </si>
  <si>
    <t>John Vincent P. Santos</t>
  </si>
  <si>
    <t>JVPS</t>
  </si>
  <si>
    <t>Mark Demy C. Rosal</t>
  </si>
  <si>
    <t>MDCR</t>
  </si>
  <si>
    <t>NXVPXSP00W109025187600</t>
  </si>
  <si>
    <t>Shiela D. Dela Cruz</t>
  </si>
  <si>
    <t>SDD</t>
  </si>
  <si>
    <t>NED</t>
  </si>
  <si>
    <t>OIC-Chief</t>
  </si>
  <si>
    <t>NHQNXSP00141300C3C7600</t>
  </si>
  <si>
    <t>Joana Marie F. Chavez</t>
  </si>
  <si>
    <t>NHQNXSP00141300A627600</t>
  </si>
  <si>
    <t>NHQNXSP00141300B207600</t>
  </si>
  <si>
    <t>Maria Jade N. Delos Reyes</t>
  </si>
  <si>
    <t>Julius N. Alano</t>
  </si>
  <si>
    <t>JNA</t>
  </si>
  <si>
    <t>NHQNXSP00141300BAB7600</t>
  </si>
  <si>
    <t>Sydney D. Requilla</t>
  </si>
  <si>
    <t>SDR</t>
  </si>
  <si>
    <t>Louise Andrea B. Melquiades</t>
  </si>
  <si>
    <t>LABM</t>
  </si>
  <si>
    <t>NHQAUSP001111166E93400</t>
  </si>
  <si>
    <t>Angela Mae L. Concepcion</t>
  </si>
  <si>
    <t>AMLC</t>
  </si>
  <si>
    <t>Angelu B. Bermas</t>
  </si>
  <si>
    <t>ABB</t>
  </si>
  <si>
    <t>NHQNXSP00141300C7B7600</t>
  </si>
  <si>
    <t>Cephas Olivier V. Cabatit</t>
  </si>
  <si>
    <t>COVC</t>
  </si>
  <si>
    <t>NHQNXSP001413009887600</t>
  </si>
  <si>
    <t>Nikko A. Cabubas</t>
  </si>
  <si>
    <t>NAC</t>
  </si>
  <si>
    <t>SD9V4W34JE7</t>
  </si>
  <si>
    <t>JRB</t>
  </si>
  <si>
    <t>Andresito F. Ulgado</t>
  </si>
  <si>
    <t>AFU</t>
  </si>
  <si>
    <t>EVIMD</t>
  </si>
  <si>
    <t>NHQNXSP00141300CAE7600</t>
  </si>
  <si>
    <t>NHQAUSPOO111116A523400</t>
  </si>
  <si>
    <t>Dwane Darcy D. Cayonte</t>
  </si>
  <si>
    <t>DDDC</t>
  </si>
  <si>
    <t>NHQNXSP00141300C5D7600</t>
  </si>
  <si>
    <t>Peter A. Sablay</t>
  </si>
  <si>
    <t>PAS</t>
  </si>
  <si>
    <t>NHQNXSP001413009827600</t>
  </si>
  <si>
    <t>Oliver L. Desamito</t>
  </si>
  <si>
    <t>OLD</t>
  </si>
  <si>
    <t>NHQNXSP00141300C0D7600</t>
  </si>
  <si>
    <t>Jovelyn Pamittan</t>
  </si>
  <si>
    <t>FVFHP12CQ6M1</t>
  </si>
  <si>
    <t>Jairus Drei E. Geronimo</t>
  </si>
  <si>
    <t>JDEG</t>
  </si>
  <si>
    <t>NHQNXSP00141300C6A7600</t>
  </si>
  <si>
    <t>NHQAUSP001111171EE3400</t>
  </si>
  <si>
    <t>Elijah Gabriel Padre Juan</t>
  </si>
  <si>
    <t>Ma. April C. Fornoles</t>
  </si>
  <si>
    <t>MACF</t>
  </si>
  <si>
    <t>NHQNXSP00141300B767600</t>
  </si>
  <si>
    <t>Patrick Carlo C. Andres</t>
  </si>
  <si>
    <t>PCCA</t>
  </si>
  <si>
    <t>NHQNXSP00141300C427600</t>
  </si>
  <si>
    <t>Jenny C. Ramos</t>
  </si>
  <si>
    <t>JCR</t>
  </si>
  <si>
    <t>NHQNXSP00141300C967600</t>
  </si>
  <si>
    <t>Justin Vincent Delarmente</t>
  </si>
  <si>
    <t>JVD</t>
  </si>
  <si>
    <t>NQHNXSP00141300C2D7600</t>
  </si>
  <si>
    <t>Erika F. Delos Reyes</t>
  </si>
  <si>
    <t>EFDR</t>
  </si>
  <si>
    <t>NHQNXSP00141300B897600</t>
  </si>
  <si>
    <t>Raffy B. Apostol</t>
  </si>
  <si>
    <t>RBA</t>
  </si>
  <si>
    <t>L8NRCX029726334</t>
  </si>
  <si>
    <t>Kenny S. Daguplo</t>
  </si>
  <si>
    <t>Lourdes Maria A. Capricho</t>
  </si>
  <si>
    <t>LMAC</t>
  </si>
  <si>
    <t>AFETD</t>
  </si>
  <si>
    <t>Macbook Pro 14 Inch M3</t>
  </si>
  <si>
    <t>V0KR2L340P</t>
  </si>
  <si>
    <t>SFVFHP1O6Q6M1</t>
  </si>
  <si>
    <t>Arnel Mathew C. Garcia</t>
  </si>
  <si>
    <t>AMCG</t>
  </si>
  <si>
    <t>C52WNDF4HJ</t>
  </si>
  <si>
    <t>SFVFHP2SLQ6LX</t>
  </si>
  <si>
    <t>Anne Manette D. Jimenez</t>
  </si>
  <si>
    <t>Rosalie Joan D. R. Sotelo</t>
  </si>
  <si>
    <t>RJRDS</t>
  </si>
  <si>
    <t>SLFX9VY6W46</t>
  </si>
  <si>
    <t>Robert Jae G. Legaspi</t>
  </si>
  <si>
    <t>RJGL</t>
  </si>
  <si>
    <t>L1QGVJ2G2K</t>
  </si>
  <si>
    <t>XQK6R9Y9J6</t>
  </si>
  <si>
    <t>Michelle Anne V. Yatco (COS)</t>
  </si>
  <si>
    <t>Alpres Russel S. Bustillo</t>
  </si>
  <si>
    <t>ARSB</t>
  </si>
  <si>
    <t>SL9MV52XFD7</t>
  </si>
  <si>
    <t>Ron Ron D. Madera</t>
  </si>
  <si>
    <t>RRDM</t>
  </si>
  <si>
    <t>LF94HQ2W6T</t>
  </si>
  <si>
    <t> NHQAUSP00111117B03400</t>
  </si>
  <si>
    <t>For new DE III (LSERV)</t>
  </si>
  <si>
    <t>NHQNXSP00141300C627600</t>
  </si>
  <si>
    <t>Jeffrey M. Saspa (COS)</t>
  </si>
  <si>
    <t>Ashley F. Rivera</t>
  </si>
  <si>
    <t>AFR</t>
  </si>
  <si>
    <t>KHFMXL1913</t>
  </si>
  <si>
    <t>SFVFHP1O8Q6M1</t>
  </si>
  <si>
    <t>NHQAUSP001111172F3400</t>
  </si>
  <si>
    <t>Vic Anthony P. Cariola (LSERV)</t>
  </si>
  <si>
    <t>Lianne Bea Y. Jaca</t>
  </si>
  <si>
    <t>LBYJ</t>
  </si>
  <si>
    <t>G9N0XHY3Y6</t>
  </si>
  <si>
    <t>Karoline P. De Vera</t>
  </si>
  <si>
    <t>KPDV</t>
  </si>
  <si>
    <t>SFVFHP125Q6M1</t>
  </si>
  <si>
    <t>Nicole B. Estacio (COS)</t>
  </si>
  <si>
    <t>XW91465QKR</t>
  </si>
  <si>
    <t>John Jomari M. Garcia</t>
  </si>
  <si>
    <t>JJMG</t>
  </si>
  <si>
    <t>HM7QVQN04N</t>
  </si>
  <si>
    <t> NHQNXSP00141300BD27600</t>
  </si>
  <si>
    <t>Charmaine Pearl L. Aquino</t>
  </si>
  <si>
    <t>CPLA</t>
  </si>
  <si>
    <t>HG37YKX26K</t>
  </si>
  <si>
    <t> NHQAUSP00111117C5A3400</t>
  </si>
  <si>
    <t>Winston Rod R. Nicodemus</t>
  </si>
  <si>
    <t>WRRN</t>
  </si>
  <si>
    <t>KX67MGY04T</t>
  </si>
  <si>
    <t>SFVFHP2SJQ6LX</t>
  </si>
  <si>
    <t>Solomon C. Shekatkar</t>
  </si>
  <si>
    <t>SCS</t>
  </si>
  <si>
    <t>LQ0F44WKP4</t>
  </si>
  <si>
    <t>Christian Sandrex D. Quiambao</t>
  </si>
  <si>
    <t>CSDQ</t>
  </si>
  <si>
    <t>LQJV2NJJC3</t>
  </si>
  <si>
    <t>AMDJ</t>
  </si>
  <si>
    <t>QRWQL4TVJT</t>
  </si>
  <si>
    <t>Ewan Mary Rose Galagala</t>
  </si>
  <si>
    <t>EMRG</t>
  </si>
  <si>
    <t>C36H91T0VT</t>
  </si>
  <si>
    <t>Niceto P. Trinidad, Jr.</t>
  </si>
  <si>
    <t>NPTJ</t>
  </si>
  <si>
    <t>Y6FGKXPYQC</t>
  </si>
  <si>
    <t>Maureen C. Mendoza</t>
  </si>
  <si>
    <t>MCM</t>
  </si>
  <si>
    <t>Administrative Assistant VI</t>
  </si>
  <si>
    <t>NHQAUSP00111116CB53400</t>
  </si>
  <si>
    <t>Norman S. Malabug (LSERV)</t>
  </si>
  <si>
    <t>NHQAUSP00111117B263400</t>
  </si>
  <si>
    <t>Liezel T. Mangunay (LSERV)</t>
  </si>
  <si>
    <t>SFVFHP2SKQ6LX</t>
  </si>
  <si>
    <t>Patrick T. Aquino, CESO III</t>
  </si>
  <si>
    <t>DPTA</t>
  </si>
  <si>
    <t>OD</t>
  </si>
  <si>
    <t>Director</t>
  </si>
  <si>
    <t>Lana Rose A. Manaligod</t>
  </si>
  <si>
    <t>ADLRAM</t>
  </si>
  <si>
    <t>Assistant Director</t>
  </si>
  <si>
    <t>Anita Lourdes P. Ornillo</t>
  </si>
  <si>
    <t>ALPO</t>
  </si>
  <si>
    <t>Executive Assistant</t>
  </si>
  <si>
    <t>Luzviminda P. Leonido</t>
  </si>
  <si>
    <t>LPL</t>
  </si>
  <si>
    <t>Camilo B. Dadia</t>
  </si>
  <si>
    <t>CBD</t>
  </si>
  <si>
    <t>Administrative Aide II</t>
  </si>
  <si>
    <t>C07JC0AJQ6NY</t>
  </si>
  <si>
    <t>206NTJJ9X908</t>
  </si>
  <si>
    <t>NHQAUSP00111117DE43400</t>
  </si>
  <si>
    <t>SFVFHP1O7Q6M1</t>
  </si>
  <si>
    <t>F03HQWPR69</t>
  </si>
  <si>
    <t>Re-MR to Karoline De Vera</t>
  </si>
  <si>
    <t>WLG7DVQN04N</t>
  </si>
  <si>
    <t>NHQAUSP00111117B03400</t>
  </si>
  <si>
    <t>Vic Anthony P. Cariola</t>
  </si>
  <si>
    <t>Jorge Vincent R. Bitoon</t>
  </si>
  <si>
    <t>JVRB</t>
  </si>
  <si>
    <t> </t>
  </si>
  <si>
    <t>SFVFHP2SMQ6LX</t>
  </si>
  <si>
    <t> NHQNXSP001111172003400</t>
  </si>
  <si>
    <t>Michelle Anne V. Yatco</t>
  </si>
  <si>
    <t> NHQNXSP00141300C627600</t>
  </si>
  <si>
    <t>Jeffrey M. Saspa</t>
  </si>
  <si>
    <t>Issued to Nicole B. Estacio (COS)</t>
  </si>
  <si>
    <t> NHQAUSP001111172473400</t>
  </si>
  <si>
    <t>Niceto P. Trinidad Jr.</t>
  </si>
  <si>
    <t>MR is with Ewan Mary Rose Galagala</t>
  </si>
  <si>
    <t>Year Acquired/ Transferred</t>
  </si>
  <si>
    <t>iPad</t>
  </si>
  <si>
    <t>Xiaomi Pad 6</t>
  </si>
  <si>
    <t>Von Jari Anievas</t>
  </si>
  <si>
    <t>Merielle T. Maranan</t>
  </si>
  <si>
    <t>Eleanor R. Hainto</t>
  </si>
  <si>
    <t>ERH</t>
  </si>
  <si>
    <t>Xiaomi Pad 6 (Last Batch)</t>
  </si>
  <si>
    <t>47859/04TM00697</t>
  </si>
  <si>
    <t>47780/04PU02866</t>
  </si>
  <si>
    <t>47780/04PF00622</t>
  </si>
  <si>
    <t>47795/K3VQ02244</t>
  </si>
  <si>
    <t>Samsung Galaxy Tab</t>
  </si>
  <si>
    <t>R52WC04FCJT</t>
  </si>
  <si>
    <t>Mary Ann Fernando</t>
  </si>
  <si>
    <t>47843/K3U400176</t>
  </si>
  <si>
    <t>Jerick Kuh D. Nalaunan</t>
  </si>
  <si>
    <t>JKDN</t>
  </si>
  <si>
    <t>Administrative III</t>
  </si>
  <si>
    <t>HCAA</t>
  </si>
  <si>
    <t>xiaomi</t>
  </si>
  <si>
    <t>62779/05QD00365</t>
  </si>
  <si>
    <t>Xiaomi</t>
  </si>
  <si>
    <t>47780|K3WC00814</t>
  </si>
  <si>
    <t>SR. SRS</t>
  </si>
  <si>
    <t>47854/K3XN00513</t>
  </si>
  <si>
    <t>SRS II</t>
  </si>
  <si>
    <t>47854/K3WN01331</t>
  </si>
  <si>
    <t>/K3VN000071</t>
  </si>
  <si>
    <t>47780/K3WC00801</t>
  </si>
  <si>
    <t>47854/04VA00293</t>
  </si>
  <si>
    <t>47854/K3XN00400</t>
  </si>
  <si>
    <t>47859/04VS00822</t>
  </si>
  <si>
    <t>47854/04VA00443</t>
  </si>
  <si>
    <t>47854/04VA00171</t>
  </si>
  <si>
    <t>47854/04VA00294</t>
  </si>
  <si>
    <t>47854/04VA00587</t>
  </si>
  <si>
    <t>47780|K3WN01001</t>
  </si>
  <si>
    <t>Huawei Mate Pad 11.5</t>
  </si>
  <si>
    <t>3GKUN24523G01464</t>
  </si>
  <si>
    <t>358277321295190</t>
  </si>
  <si>
    <t>Xiaomi Pad 7</t>
  </si>
  <si>
    <t>Through Regular</t>
  </si>
  <si>
    <t>Samsung Galaxy Tab, 2024</t>
  </si>
  <si>
    <t>SN: 47859/04V400016 (PN: CA-NO-24-5267)</t>
  </si>
  <si>
    <t>62779/05QD00056</t>
  </si>
  <si>
    <t>Samsung Galaxy Tab SM-X716B, 2024</t>
  </si>
  <si>
    <t>47859/04V400107</t>
  </si>
  <si>
    <t>Rodger C. Pascual</t>
  </si>
  <si>
    <t>RCP</t>
  </si>
  <si>
    <t>OIC Chief Science Research Specialist</t>
  </si>
  <si>
    <t>Norita C. Froilan</t>
  </si>
  <si>
    <t>NCF</t>
  </si>
  <si>
    <t>Sienna Mae H. Mondala</t>
  </si>
  <si>
    <t>SMHM</t>
  </si>
  <si>
    <t>Mary Grace Q. Razonable</t>
  </si>
  <si>
    <t>MGQR</t>
  </si>
  <si>
    <t>AIR 39</t>
  </si>
  <si>
    <t>DJI</t>
  </si>
  <si>
    <t>1581F895C25180079N4M</t>
  </si>
  <si>
    <t>Cynthia P.J Mañalac</t>
  </si>
  <si>
    <t>Supervising SRS</t>
  </si>
  <si>
    <t>Sir Roland C. Basco</t>
  </si>
  <si>
    <t>SRCB</t>
  </si>
  <si>
    <t>Raziel Angela Lizardo</t>
  </si>
  <si>
    <t>RAL</t>
  </si>
  <si>
    <t>Ingrid Faye P. Calayag</t>
  </si>
  <si>
    <t>IFPC</t>
  </si>
  <si>
    <t>SRS I</t>
  </si>
  <si>
    <t>Ma. Corazon De Guzman</t>
  </si>
  <si>
    <t>MCDG</t>
  </si>
  <si>
    <t>AA III</t>
  </si>
  <si>
    <t>OIC Chief</t>
  </si>
  <si>
    <t>Andre Luis D. Reyes</t>
  </si>
  <si>
    <t>ALDR</t>
  </si>
  <si>
    <t>GoPro Hero 12 Black Creator</t>
  </si>
  <si>
    <t>C3501325501968</t>
  </si>
  <si>
    <t>C3501325493124</t>
  </si>
  <si>
    <t>C3501325491236</t>
  </si>
  <si>
    <t>GoPro</t>
  </si>
  <si>
    <t>Profesional Camera</t>
  </si>
  <si>
    <t>Nikon</t>
  </si>
  <si>
    <t>Drone</t>
  </si>
  <si>
    <t>C3501325491957</t>
  </si>
  <si>
    <t>C3501325503702</t>
  </si>
  <si>
    <t>Canon</t>
  </si>
  <si>
    <t>C3501325475208</t>
  </si>
  <si>
    <t>C3501325510598</t>
  </si>
  <si>
    <t>C3501325579869</t>
  </si>
  <si>
    <t>C3501325478311</t>
  </si>
  <si>
    <t>BODY MOUNTED ACTION CAMERA (PPE) - HERO 12</t>
  </si>
  <si>
    <t>C3501325723591</t>
  </si>
  <si>
    <t>PROFESSIONAL CAMERA WITH LENS</t>
  </si>
  <si>
    <t>ALPHA A7R V BODY</t>
  </si>
  <si>
    <t>S013256871I</t>
  </si>
  <si>
    <t>C3501325801224</t>
  </si>
  <si>
    <t>Jayvie A. Gaya</t>
  </si>
  <si>
    <t>S013256855K</t>
  </si>
  <si>
    <t>C3501325480083</t>
  </si>
  <si>
    <t>C3501325504432</t>
  </si>
  <si>
    <t>C3501325592818</t>
  </si>
  <si>
    <t>Color Lazer Jet Pro MFP M479fnw</t>
  </si>
  <si>
    <t>Color Lazer Jet Enterprise MFP M681</t>
  </si>
  <si>
    <t>ECOYS M5526cdw</t>
  </si>
  <si>
    <t>LazerJet Pro 200 color M251n</t>
  </si>
  <si>
    <t>WF-C579R</t>
  </si>
  <si>
    <t>6053ci</t>
  </si>
  <si>
    <t>L5290</t>
  </si>
  <si>
    <t>MFC-J3540DW</t>
  </si>
  <si>
    <t>MFC-L8900CDW</t>
  </si>
  <si>
    <t>DCP-T720DW</t>
  </si>
  <si>
    <t>REPLACEMENT FOR 2026</t>
  </si>
  <si>
    <t>EUMB ICT SUMMARY 2025</t>
  </si>
  <si>
    <t>DIVISIONS</t>
  </si>
  <si>
    <t>REGULAR</t>
  </si>
  <si>
    <t>LOCALLY FUNDED</t>
  </si>
  <si>
    <t>LAPTOP</t>
  </si>
  <si>
    <t>TABLET 1</t>
  </si>
  <si>
    <t>TABLET 2</t>
  </si>
  <si>
    <t>PRINTER 1</t>
  </si>
  <si>
    <t>PRINTER 2</t>
  </si>
  <si>
    <t>DIVISION</t>
  </si>
  <si>
    <t>3 YEARS &amp; BELOW</t>
  </si>
  <si>
    <t>ABOVE 3 YEARS</t>
  </si>
  <si>
    <t>FOR RELACEMENT</t>
  </si>
  <si>
    <t>TOTAL</t>
  </si>
  <si>
    <t>INVENTORY</t>
  </si>
  <si>
    <t>Request</t>
  </si>
  <si>
    <t>Unit Cost</t>
  </si>
  <si>
    <t>Total</t>
  </si>
  <si>
    <t>TABLET</t>
  </si>
  <si>
    <t>PRINTER</t>
  </si>
  <si>
    <t>Plantilla</t>
  </si>
  <si>
    <t>Regular</t>
  </si>
  <si>
    <t>Jerico Walther Y. Castil</t>
  </si>
  <si>
    <t>JWYC</t>
  </si>
  <si>
    <t>DAMC</t>
  </si>
  <si>
    <t>Jone Gabriel A. Rodriguez</t>
  </si>
  <si>
    <t>JGAR</t>
  </si>
  <si>
    <t>MTM</t>
  </si>
  <si>
    <t>Project Evaluation Specialist</t>
  </si>
  <si>
    <t>COS</t>
  </si>
  <si>
    <t>JCF</t>
  </si>
  <si>
    <t>MAF</t>
  </si>
  <si>
    <t>SCG</t>
  </si>
  <si>
    <t>BBA</t>
  </si>
  <si>
    <t>Project Support Staff</t>
  </si>
  <si>
    <t>Outsourced</t>
  </si>
  <si>
    <t>AJC</t>
  </si>
  <si>
    <t>Data Encoder II</t>
  </si>
  <si>
    <t>Danielle Jan G. Opoc</t>
  </si>
  <si>
    <t>DJGO</t>
  </si>
  <si>
    <t>Erwin N. Esperanza</t>
  </si>
  <si>
    <t>ENE</t>
  </si>
  <si>
    <t>RSA</t>
  </si>
  <si>
    <t>Jovelle E. Medina</t>
  </si>
  <si>
    <t>JEM</t>
  </si>
  <si>
    <t>Roland Joseph P. Isais</t>
  </si>
  <si>
    <t>RJPI</t>
  </si>
  <si>
    <t>RAMS</t>
  </si>
  <si>
    <t>MO</t>
  </si>
  <si>
    <t>Cherry Lou M. Eng</t>
  </si>
  <si>
    <t>CLME</t>
  </si>
  <si>
    <t>Charlotte Marie Ann L. Bailon</t>
  </si>
  <si>
    <t>CMALB</t>
  </si>
  <si>
    <t>MJNDR</t>
  </si>
  <si>
    <t>JMFC</t>
  </si>
  <si>
    <t>Kae Christian A. Colonia</t>
  </si>
  <si>
    <t>KCAC</t>
  </si>
  <si>
    <t>JMS</t>
  </si>
  <si>
    <t>MAVY</t>
  </si>
  <si>
    <t>VAPC</t>
  </si>
  <si>
    <t>Laptops</t>
  </si>
  <si>
    <t>Year Acquired</t>
  </si>
  <si>
    <t>Action / Remarks</t>
  </si>
  <si>
    <t>Standard</t>
  </si>
  <si>
    <t>Asus</t>
  </si>
  <si>
    <t>Tablets</t>
  </si>
  <si>
    <t>Samsung</t>
  </si>
  <si>
    <t>Body Mounted Action Camera</t>
  </si>
  <si>
    <t>Printer</t>
  </si>
  <si>
    <t>HP</t>
  </si>
  <si>
    <t>KYOCERA</t>
  </si>
  <si>
    <t>EPSON</t>
  </si>
  <si>
    <t>BROTHER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</si>
</sst>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charset val="1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rial"/>
    </font>
    <font>
      <sz val="10"/>
      <color rgb="FF000000"/>
      <name val="Arial"/>
    </font>
    <font>
      <sz val="11"/>
      <color rgb="FF000000"/>
      <name val="Aptos Narrow"/>
    </font>
    <font>
      <sz val="12"/>
      <color rgb="FF000000"/>
      <name val="Aptos Narrow"/>
    </font>
    <font>
      <sz val="11"/>
      <color theme="1"/>
      <name val="Arial"/>
    </font>
    <font>
      <sz val="10"/>
      <color theme="1"/>
      <name val="Arial"/>
      <charset val="1"/>
    </font>
    <font>
      <sz val="11"/>
      <color theme="1"/>
      <name val="Roboto"/>
      <charset val="1"/>
    </font>
    <font>
      <sz val="12"/>
      <color rgb="FF000000"/>
      <name val="Aptos Narrow"/>
      <charset val="1"/>
    </font>
    <font>
      <sz val="11"/>
      <color rgb="FF000000"/>
      <name val="Arial"/>
      <family val="2"/>
    </font>
    <font>
      <sz val="10"/>
      <color rgb="FF000000"/>
      <name val="Arial"/>
      <charset val="1"/>
    </font>
    <font>
      <sz val="11"/>
      <color rgb="FF000000"/>
      <name val="Arial"/>
    </font>
    <font>
      <sz val="12"/>
      <color rgb="FF000000"/>
      <name val="Aptos Narrow (Body)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3" fillId="5" borderId="1" xfId="0" applyFont="1" applyFill="1" applyBorder="1"/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5" fillId="0" borderId="1" xfId="0" applyFont="1" applyBorder="1"/>
    <xf numFmtId="0" fontId="5" fillId="0" borderId="0" xfId="0" applyFont="1"/>
    <xf numFmtId="0" fontId="5" fillId="0" borderId="6" xfId="0" applyFont="1" applyBorder="1"/>
    <xf numFmtId="0" fontId="6" fillId="6" borderId="1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8" fillId="0" borderId="1" xfId="0" applyFont="1" applyBorder="1"/>
    <xf numFmtId="0" fontId="8" fillId="0" borderId="5" xfId="0" applyFont="1" applyBorder="1"/>
    <xf numFmtId="0" fontId="0" fillId="0" borderId="10" xfId="0" applyBorder="1"/>
    <xf numFmtId="0" fontId="0" fillId="0" borderId="2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0" fontId="9" fillId="0" borderId="9" xfId="0" applyFont="1" applyBorder="1" applyAlignment="1">
      <alignment horizontal="center"/>
    </xf>
    <xf numFmtId="0" fontId="9" fillId="0" borderId="9" xfId="0" applyFont="1" applyBorder="1"/>
    <xf numFmtId="0" fontId="0" fillId="0" borderId="9" xfId="0" quotePrefix="1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8" xfId="0" applyBorder="1"/>
    <xf numFmtId="0" fontId="0" fillId="0" borderId="23" xfId="0" applyBorder="1"/>
    <xf numFmtId="0" fontId="0" fillId="0" borderId="24" xfId="0" applyBorder="1"/>
    <xf numFmtId="0" fontId="0" fillId="0" borderId="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5" xfId="0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9" xfId="0" applyNumberFormat="1" applyBorder="1" applyAlignment="1">
      <alignment horizontal="center"/>
    </xf>
    <xf numFmtId="43" fontId="0" fillId="0" borderId="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43" fontId="0" fillId="0" borderId="14" xfId="0" applyNumberFormat="1" applyBorder="1"/>
    <xf numFmtId="43" fontId="0" fillId="0" borderId="36" xfId="0" applyNumberFormat="1" applyBorder="1" applyAlignment="1">
      <alignment horizontal="center"/>
    </xf>
    <xf numFmtId="43" fontId="0" fillId="0" borderId="37" xfId="0" applyNumberFormat="1" applyBorder="1"/>
    <xf numFmtId="43" fontId="0" fillId="0" borderId="33" xfId="0" applyNumberFormat="1" applyBorder="1"/>
    <xf numFmtId="43" fontId="0" fillId="0" borderId="38" xfId="0" applyNumberFormat="1" applyBorder="1"/>
    <xf numFmtId="43" fontId="0" fillId="0" borderId="13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8" xfId="0" applyBorder="1" applyAlignment="1">
      <alignment horizontal="center"/>
    </xf>
    <xf numFmtId="43" fontId="0" fillId="0" borderId="18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43" fontId="0" fillId="0" borderId="33" xfId="0" applyNumberFormat="1" applyBorder="1" applyAlignment="1">
      <alignment horizontal="right"/>
    </xf>
    <xf numFmtId="43" fontId="0" fillId="0" borderId="38" xfId="0" applyNumberFormat="1" applyBorder="1" applyAlignment="1">
      <alignment horizontal="right"/>
    </xf>
    <xf numFmtId="0" fontId="0" fillId="0" borderId="41" xfId="0" applyBorder="1" applyAlignment="1">
      <alignment horizontal="center"/>
    </xf>
    <xf numFmtId="0" fontId="0" fillId="0" borderId="27" xfId="0" applyBorder="1"/>
    <xf numFmtId="0" fontId="0" fillId="0" borderId="44" xfId="0" applyBorder="1"/>
    <xf numFmtId="43" fontId="0" fillId="0" borderId="19" xfId="0" applyNumberFormat="1" applyBorder="1"/>
    <xf numFmtId="0" fontId="0" fillId="0" borderId="23" xfId="0" applyBorder="1" applyAlignment="1">
      <alignment horizontal="center"/>
    </xf>
    <xf numFmtId="43" fontId="0" fillId="0" borderId="34" xfId="0" applyNumberFormat="1" applyBorder="1"/>
    <xf numFmtId="43" fontId="0" fillId="0" borderId="34" xfId="0" applyNumberFormat="1" applyBorder="1" applyAlignment="1">
      <alignment horizontal="right"/>
    </xf>
    <xf numFmtId="0" fontId="0" fillId="0" borderId="30" xfId="0" applyBorder="1"/>
    <xf numFmtId="0" fontId="0" fillId="7" borderId="1" xfId="0" applyFill="1" applyBorder="1"/>
    <xf numFmtId="0" fontId="11" fillId="3" borderId="1" xfId="0" applyFont="1" applyFill="1" applyBorder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2" fillId="6" borderId="1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4" fillId="0" borderId="1" xfId="0" applyFont="1" applyBorder="1"/>
    <xf numFmtId="0" fontId="15" fillId="8" borderId="1" xfId="0" applyFont="1" applyFill="1" applyBorder="1"/>
    <xf numFmtId="0" fontId="16" fillId="0" borderId="1" xfId="0" applyFont="1" applyBorder="1" applyAlignment="1">
      <alignment horizontal="left"/>
    </xf>
    <xf numFmtId="0" fontId="11" fillId="0" borderId="9" xfId="0" applyFont="1" applyBorder="1"/>
    <xf numFmtId="0" fontId="11" fillId="3" borderId="3" xfId="0" applyFont="1" applyFill="1" applyBorder="1"/>
    <xf numFmtId="0" fontId="11" fillId="0" borderId="9" xfId="0" applyFont="1" applyBorder="1" applyAlignment="1">
      <alignment horizontal="center"/>
    </xf>
    <xf numFmtId="0" fontId="3" fillId="3" borderId="1" xfId="0" applyFont="1" applyFill="1" applyBorder="1"/>
    <xf numFmtId="0" fontId="3" fillId="3" borderId="3" xfId="0" applyFont="1" applyFill="1" applyBorder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0" fillId="0" borderId="9" xfId="0" applyBorder="1" applyAlignment="1">
      <alignment horizontal="left"/>
    </xf>
    <xf numFmtId="0" fontId="15" fillId="8" borderId="7" xfId="0" applyFont="1" applyFill="1" applyBorder="1"/>
    <xf numFmtId="0" fontId="0" fillId="0" borderId="5" xfId="0" applyBorder="1"/>
    <xf numFmtId="0" fontId="15" fillId="0" borderId="9" xfId="0" applyFont="1" applyBorder="1"/>
    <xf numFmtId="0" fontId="2" fillId="0" borderId="45" xfId="0" applyFont="1" applyBorder="1" applyAlignment="1">
      <alignment horizontal="center" vertical="center" wrapText="1"/>
    </xf>
    <xf numFmtId="0" fontId="0" fillId="0" borderId="3" xfId="0" applyBorder="1"/>
    <xf numFmtId="0" fontId="0" fillId="0" borderId="46" xfId="0" applyBorder="1"/>
    <xf numFmtId="0" fontId="11" fillId="0" borderId="3" xfId="0" applyFont="1" applyBorder="1"/>
    <xf numFmtId="0" fontId="11" fillId="0" borderId="0" xfId="0" applyFont="1"/>
    <xf numFmtId="0" fontId="17" fillId="0" borderId="0" xfId="0" applyFont="1"/>
    <xf numFmtId="0" fontId="17" fillId="0" borderId="9" xfId="0" applyFont="1" applyBorder="1" applyAlignment="1">
      <alignment wrapText="1" readingOrder="1"/>
    </xf>
    <xf numFmtId="0" fontId="17" fillId="0" borderId="47" xfId="0" applyFont="1" applyBorder="1" applyAlignment="1">
      <alignment wrapText="1" readingOrder="1"/>
    </xf>
    <xf numFmtId="0" fontId="17" fillId="0" borderId="48" xfId="0" applyFont="1" applyBorder="1" applyAlignment="1">
      <alignment wrapText="1" readingOrder="1"/>
    </xf>
    <xf numFmtId="0" fontId="17" fillId="0" borderId="49" xfId="0" applyFont="1" applyBorder="1" applyAlignment="1">
      <alignment wrapText="1" readingOrder="1"/>
    </xf>
    <xf numFmtId="0" fontId="18" fillId="9" borderId="9" xfId="0" applyFont="1" applyFill="1" applyBorder="1" applyAlignment="1">
      <alignment horizontal="center" wrapText="1" readingOrder="1"/>
    </xf>
    <xf numFmtId="0" fontId="17" fillId="0" borderId="47" xfId="0" applyFont="1" applyBorder="1" applyAlignment="1">
      <alignment horizontal="center" wrapText="1" readingOrder="1"/>
    </xf>
    <xf numFmtId="0" fontId="19" fillId="0" borderId="9" xfId="0" applyFont="1" applyBorder="1"/>
    <xf numFmtId="0" fontId="0" fillId="3" borderId="9" xfId="0" applyFill="1" applyBorder="1" applyAlignment="1">
      <alignment horizontal="center" vertical="center"/>
    </xf>
    <xf numFmtId="0" fontId="3" fillId="0" borderId="9" xfId="0" applyFont="1" applyBorder="1" applyAlignment="1">
      <alignment horizontal="left"/>
    </xf>
    <xf numFmtId="0" fontId="3" fillId="3" borderId="9" xfId="0" applyFont="1" applyFill="1" applyBorder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/>
    <xf numFmtId="0" fontId="2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/>
    </xf>
    <xf numFmtId="0" fontId="11" fillId="3" borderId="9" xfId="0" applyFont="1" applyFill="1" applyBorder="1"/>
    <xf numFmtId="0" fontId="20" fillId="0" borderId="9" xfId="0" applyFont="1" applyBorder="1" applyAlignment="1">
      <alignment horizontal="left"/>
    </xf>
    <xf numFmtId="0" fontId="21" fillId="0" borderId="9" xfId="0" applyFont="1" applyBorder="1"/>
    <xf numFmtId="0" fontId="22" fillId="0" borderId="9" xfId="0" applyFont="1" applyBorder="1" applyAlignment="1">
      <alignment horizontal="left"/>
    </xf>
    <xf numFmtId="0" fontId="5" fillId="0" borderId="9" xfId="0" applyFont="1" applyBorder="1"/>
    <xf numFmtId="0" fontId="3" fillId="3" borderId="9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3" fillId="0" borderId="6" xfId="0" applyFont="1" applyBorder="1"/>
    <xf numFmtId="0" fontId="23" fillId="0" borderId="0" xfId="0" applyFont="1"/>
    <xf numFmtId="0" fontId="23" fillId="0" borderId="1" xfId="0" applyFont="1" applyBorder="1"/>
    <xf numFmtId="0" fontId="10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</cellXfs>
  <cellStyles count="1">
    <cellStyle name="Normal" xfId="0" builtinId="0"/>
  </cellStyles>
  <dxfs count="27"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D0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B854-E977-4768-ADF8-672DA25523C4}">
  <sheetPr>
    <pageSetUpPr fitToPage="1"/>
  </sheetPr>
  <dimension ref="A1:N143"/>
  <sheetViews>
    <sheetView tabSelected="1" zoomScale="70" zoomScaleNormal="70" workbookViewId="0">
      <pane xSplit="6" ySplit="1" topLeftCell="G2" activePane="bottomRight" state="frozen"/>
      <selection pane="bottomRight" activeCell="E13" sqref="E13"/>
      <selection pane="bottomLeft" activeCell="B101" sqref="B101"/>
      <selection pane="topRight"/>
    </sheetView>
  </sheetViews>
  <sheetFormatPr defaultColWidth="11" defaultRowHeight="15.75"/>
  <cols>
    <col min="1" max="1" width="5.875" customWidth="1"/>
    <col min="2" max="2" width="30" customWidth="1"/>
    <col min="3" max="4" width="10.5" customWidth="1"/>
    <col min="5" max="5" width="41" customWidth="1"/>
    <col min="6" max="6" width="21.5" style="19" customWidth="1"/>
    <col min="7" max="7" width="21" style="16" customWidth="1"/>
    <col min="8" max="8" width="20.375" style="16" customWidth="1"/>
    <col min="9" max="9" width="12" style="16" customWidth="1"/>
    <col min="10" max="10" width="29.875" style="19" customWidth="1"/>
    <col min="11" max="11" width="18.5" customWidth="1"/>
    <col min="12" max="12" width="39.5" customWidth="1"/>
    <col min="13" max="13" width="20" customWidth="1"/>
    <col min="14" max="14" width="41.125" bestFit="1" customWidth="1"/>
  </cols>
  <sheetData>
    <row r="1" spans="1:14">
      <c r="A1" s="123" t="s">
        <v>0</v>
      </c>
      <c r="B1" s="124" t="s">
        <v>1</v>
      </c>
      <c r="C1" s="124" t="s">
        <v>2</v>
      </c>
      <c r="D1" s="124" t="s">
        <v>3</v>
      </c>
      <c r="E1" s="124" t="s">
        <v>4</v>
      </c>
      <c r="F1" s="125" t="s">
        <v>5</v>
      </c>
      <c r="G1" s="126" t="s">
        <v>6</v>
      </c>
      <c r="H1" s="126" t="s">
        <v>7</v>
      </c>
      <c r="I1" s="126" t="s">
        <v>8</v>
      </c>
      <c r="J1" s="125" t="s">
        <v>9</v>
      </c>
      <c r="K1" s="126" t="s">
        <v>10</v>
      </c>
      <c r="L1" s="126" t="s">
        <v>11</v>
      </c>
      <c r="M1" s="126" t="s">
        <v>12</v>
      </c>
      <c r="N1" s="31"/>
    </row>
    <row r="2" spans="1:14">
      <c r="A2" s="120">
        <v>1</v>
      </c>
      <c r="B2" s="37" t="s">
        <v>13</v>
      </c>
      <c r="C2" s="37" t="s">
        <v>14</v>
      </c>
      <c r="D2" s="122" t="s">
        <v>15</v>
      </c>
      <c r="E2" s="122" t="s">
        <v>16</v>
      </c>
      <c r="F2" s="121" t="s">
        <v>17</v>
      </c>
      <c r="G2" s="100" t="str">
        <f>VLOOKUP(F2,Data!$B$122:$C$135,2,FALSE)</f>
        <v>Acer</v>
      </c>
      <c r="H2" s="100">
        <f>VLOOKUP(F2,Data!$B$122:$D$135,3,FALSE)</f>
        <v>2021</v>
      </c>
      <c r="I2" s="100">
        <f ca="1">YEAR(TODAY()) - H2</f>
        <v>5</v>
      </c>
      <c r="J2" s="121" t="s">
        <v>18</v>
      </c>
      <c r="K2" s="99" t="s">
        <v>19</v>
      </c>
      <c r="L2" s="99" t="s">
        <v>13</v>
      </c>
      <c r="M2" s="99"/>
      <c r="N2" s="99"/>
    </row>
    <row r="3" spans="1:14">
      <c r="A3" s="120"/>
      <c r="B3" s="37"/>
      <c r="C3" s="37"/>
      <c r="D3" s="122" t="s">
        <v>15</v>
      </c>
      <c r="E3" s="122"/>
      <c r="F3" s="121" t="s">
        <v>20</v>
      </c>
      <c r="G3" s="100" t="str">
        <f>VLOOKUP(F3,Data!$B$122:$C$135,2,FALSE)</f>
        <v>Apple</v>
      </c>
      <c r="H3" s="100">
        <f>VLOOKUP(F3,Data!$B$122:$D$135,3,FALSE)</f>
        <v>2023</v>
      </c>
      <c r="I3" s="100">
        <f t="shared" ref="I3:I31" ca="1" si="0">YEAR(TODAY()) - H3</f>
        <v>3</v>
      </c>
      <c r="J3" s="121"/>
      <c r="K3" s="99" t="s">
        <v>19</v>
      </c>
      <c r="L3" s="99" t="s">
        <v>13</v>
      </c>
      <c r="M3" s="99"/>
      <c r="N3" s="99"/>
    </row>
    <row r="4" spans="1:14">
      <c r="A4" s="120">
        <v>2</v>
      </c>
      <c r="B4" s="37" t="s">
        <v>21</v>
      </c>
      <c r="C4" s="37" t="s">
        <v>22</v>
      </c>
      <c r="D4" s="122" t="s">
        <v>15</v>
      </c>
      <c r="E4" s="122" t="s">
        <v>23</v>
      </c>
      <c r="F4" s="121" t="s">
        <v>20</v>
      </c>
      <c r="G4" s="100" t="str">
        <f>VLOOKUP(F4,Data!$B$122:$C$135,2,FALSE)</f>
        <v>Apple</v>
      </c>
      <c r="H4" s="100">
        <f>VLOOKUP(F4,Data!$B$122:$D$135,3,FALSE)</f>
        <v>2023</v>
      </c>
      <c r="I4" s="100">
        <f t="shared" ref="I4:I6" ca="1" si="1">YEAR(TODAY()) - H4</f>
        <v>3</v>
      </c>
      <c r="J4" s="121" t="s">
        <v>24</v>
      </c>
      <c r="K4" s="99" t="s">
        <v>19</v>
      </c>
      <c r="L4" s="99" t="s">
        <v>21</v>
      </c>
      <c r="M4" s="99"/>
      <c r="N4" s="99"/>
    </row>
    <row r="5" spans="1:14">
      <c r="A5" s="120"/>
      <c r="B5" s="37"/>
      <c r="C5" s="37"/>
      <c r="D5" s="122" t="s">
        <v>15</v>
      </c>
      <c r="E5" s="122"/>
      <c r="F5" s="121" t="s">
        <v>25</v>
      </c>
      <c r="G5" s="100" t="str">
        <f>VLOOKUP(F5,Data!$B$122:$C$135,2,FALSE)</f>
        <v>Asus</v>
      </c>
      <c r="H5" s="100">
        <f>VLOOKUP(F5,Data!$B$122:$D$135,3,FALSE)</f>
        <v>2020</v>
      </c>
      <c r="I5" s="100">
        <f t="shared" ca="1" si="1"/>
        <v>6</v>
      </c>
      <c r="J5" s="121" t="s">
        <v>26</v>
      </c>
      <c r="K5" s="99" t="s">
        <v>19</v>
      </c>
      <c r="L5" s="99" t="s">
        <v>27</v>
      </c>
      <c r="M5" s="99"/>
      <c r="N5" s="99"/>
    </row>
    <row r="6" spans="1:14">
      <c r="A6" s="120"/>
      <c r="B6" s="37"/>
      <c r="C6" s="37"/>
      <c r="D6" s="122" t="s">
        <v>15</v>
      </c>
      <c r="E6" s="122"/>
      <c r="F6" s="121" t="s">
        <v>17</v>
      </c>
      <c r="G6" s="100" t="str">
        <f>VLOOKUP(F6,Data!$B$122:$C$135,2,FALSE)</f>
        <v>Acer</v>
      </c>
      <c r="H6" s="100">
        <f>VLOOKUP(F6,Data!$B$122:$D$135,3,FALSE)</f>
        <v>2021</v>
      </c>
      <c r="I6" s="100">
        <f t="shared" ca="1" si="1"/>
        <v>5</v>
      </c>
      <c r="J6" s="121" t="s">
        <v>26</v>
      </c>
      <c r="K6" s="99" t="s">
        <v>19</v>
      </c>
      <c r="L6" s="99" t="s">
        <v>28</v>
      </c>
      <c r="M6" s="99"/>
      <c r="N6" s="99"/>
    </row>
    <row r="7" spans="1:14">
      <c r="A7" s="120">
        <v>3</v>
      </c>
      <c r="B7" s="37" t="s">
        <v>29</v>
      </c>
      <c r="C7" s="37" t="s">
        <v>30</v>
      </c>
      <c r="D7" s="122" t="s">
        <v>15</v>
      </c>
      <c r="E7" s="122" t="s">
        <v>31</v>
      </c>
      <c r="F7" s="121" t="s">
        <v>32</v>
      </c>
      <c r="G7" s="100" t="str">
        <f>VLOOKUP(F7,Data!$B$122:$C$135,2,FALSE)</f>
        <v>Acer</v>
      </c>
      <c r="H7" s="100">
        <f>VLOOKUP(F7,Data!$B$122:$D$135,3,FALSE)</f>
        <v>2024</v>
      </c>
      <c r="I7" s="100">
        <f t="shared" ca="1" si="0"/>
        <v>2</v>
      </c>
      <c r="J7" s="121" t="s">
        <v>33</v>
      </c>
      <c r="K7" s="99" t="s">
        <v>19</v>
      </c>
      <c r="L7" s="99" t="s">
        <v>34</v>
      </c>
      <c r="M7" s="99"/>
      <c r="N7" s="99"/>
    </row>
    <row r="8" spans="1:14">
      <c r="A8" s="120"/>
      <c r="B8" s="37"/>
      <c r="C8" s="37"/>
      <c r="D8" s="122" t="s">
        <v>15</v>
      </c>
      <c r="E8" s="122"/>
      <c r="F8" s="121" t="s">
        <v>20</v>
      </c>
      <c r="G8" s="100" t="str">
        <f>VLOOKUP(F8,Data!$B$122:$C$135,2,FALSE)</f>
        <v>Apple</v>
      </c>
      <c r="H8" s="100">
        <f>VLOOKUP(F8,Data!$B$122:$D$135,3,FALSE)</f>
        <v>2023</v>
      </c>
      <c r="I8" s="100">
        <f t="shared" ca="1" si="0"/>
        <v>3</v>
      </c>
      <c r="J8" s="121" t="s">
        <v>35</v>
      </c>
      <c r="K8" s="99" t="s">
        <v>19</v>
      </c>
      <c r="L8" s="99" t="s">
        <v>29</v>
      </c>
      <c r="M8" s="99"/>
      <c r="N8" s="99"/>
    </row>
    <row r="9" spans="1:14">
      <c r="A9" s="120">
        <v>4</v>
      </c>
      <c r="B9" s="37" t="s">
        <v>36</v>
      </c>
      <c r="C9" s="37" t="s">
        <v>37</v>
      </c>
      <c r="D9" s="122" t="s">
        <v>15</v>
      </c>
      <c r="E9" s="122" t="s">
        <v>38</v>
      </c>
      <c r="F9" s="121" t="s">
        <v>39</v>
      </c>
      <c r="G9" s="100" t="str">
        <f>VLOOKUP(F9,Data!$B$122:$C$135,2,FALSE)</f>
        <v>Apple</v>
      </c>
      <c r="H9" s="100">
        <f>VLOOKUP(F9,Data!$B$122:$D$135,3,FALSE)</f>
        <v>2023</v>
      </c>
      <c r="I9" s="100">
        <f t="shared" ca="1" si="0"/>
        <v>3</v>
      </c>
      <c r="J9" s="121" t="s">
        <v>40</v>
      </c>
      <c r="K9" s="99" t="s">
        <v>19</v>
      </c>
      <c r="L9" s="99" t="s">
        <v>36</v>
      </c>
      <c r="M9" s="99"/>
      <c r="N9" s="99"/>
    </row>
    <row r="10" spans="1:14">
      <c r="A10" s="120"/>
      <c r="B10" s="37"/>
      <c r="C10" s="37"/>
      <c r="D10" s="122" t="s">
        <v>15</v>
      </c>
      <c r="E10" s="122"/>
      <c r="F10" s="121" t="s">
        <v>17</v>
      </c>
      <c r="G10" s="100" t="str">
        <f>VLOOKUP(F10,Data!$B$122:$C$135,2,FALSE)</f>
        <v>Acer</v>
      </c>
      <c r="H10" s="100">
        <f>VLOOKUP(F10,Data!$B$122:$D$135,3,FALSE)</f>
        <v>2021</v>
      </c>
      <c r="I10" s="100">
        <f t="shared" ca="1" si="0"/>
        <v>5</v>
      </c>
      <c r="J10" s="121" t="s">
        <v>41</v>
      </c>
      <c r="K10" s="99" t="s">
        <v>19</v>
      </c>
      <c r="L10" s="99" t="s">
        <v>42</v>
      </c>
      <c r="M10" s="99"/>
      <c r="N10" s="99"/>
    </row>
    <row r="11" spans="1:14">
      <c r="A11" s="120"/>
      <c r="B11" s="37"/>
      <c r="C11" s="37"/>
      <c r="D11" s="122" t="s">
        <v>15</v>
      </c>
      <c r="E11" s="122"/>
      <c r="F11" s="121" t="s">
        <v>17</v>
      </c>
      <c r="G11" s="100" t="str">
        <f>VLOOKUP(F11,Data!$B$122:$C$135,2,FALSE)</f>
        <v>Acer</v>
      </c>
      <c r="H11" s="100">
        <f>VLOOKUP(F11,Data!$B$122:$D$135,3,FALSE)</f>
        <v>2021</v>
      </c>
      <c r="I11" s="100">
        <f t="shared" ca="1" si="0"/>
        <v>5</v>
      </c>
      <c r="J11" s="121" t="s">
        <v>43</v>
      </c>
      <c r="K11" s="99" t="s">
        <v>19</v>
      </c>
      <c r="L11" s="99" t="s">
        <v>44</v>
      </c>
      <c r="M11" s="99"/>
      <c r="N11" s="99"/>
    </row>
    <row r="12" spans="1:14">
      <c r="A12" s="120"/>
      <c r="B12" s="37"/>
      <c r="C12" s="37"/>
      <c r="D12" s="122" t="s">
        <v>15</v>
      </c>
      <c r="E12" s="122"/>
      <c r="F12" s="121" t="s">
        <v>17</v>
      </c>
      <c r="G12" s="100" t="str">
        <f>VLOOKUP(F12,Data!$B$122:$C$135,2,FALSE)</f>
        <v>Acer</v>
      </c>
      <c r="H12" s="100">
        <f>VLOOKUP(F12,Data!$B$122:$D$135,3,FALSE)</f>
        <v>2021</v>
      </c>
      <c r="I12" s="100">
        <f t="shared" ca="1" si="0"/>
        <v>5</v>
      </c>
      <c r="J12" s="121" t="s">
        <v>45</v>
      </c>
      <c r="K12" s="99" t="s">
        <v>19</v>
      </c>
      <c r="L12" s="99" t="s">
        <v>46</v>
      </c>
      <c r="M12" s="99"/>
      <c r="N12" s="99"/>
    </row>
    <row r="13" spans="1:14">
      <c r="A13" s="120"/>
      <c r="B13" s="37"/>
      <c r="C13" s="37"/>
      <c r="D13" s="122" t="s">
        <v>15</v>
      </c>
      <c r="E13" s="122"/>
      <c r="F13" s="121" t="s">
        <v>17</v>
      </c>
      <c r="G13" s="100" t="str">
        <f>VLOOKUP(F13,Data!$B$122:$C$135,2,FALSE)</f>
        <v>Acer</v>
      </c>
      <c r="H13" s="100">
        <f>VLOOKUP(F13,Data!$B$122:$D$135,3,FALSE)</f>
        <v>2021</v>
      </c>
      <c r="I13" s="100">
        <f t="shared" ca="1" si="0"/>
        <v>5</v>
      </c>
      <c r="J13" s="121" t="s">
        <v>47</v>
      </c>
      <c r="K13" s="99" t="s">
        <v>19</v>
      </c>
      <c r="L13" s="99" t="s">
        <v>48</v>
      </c>
      <c r="M13" s="99"/>
      <c r="N13" s="99"/>
    </row>
    <row r="14" spans="1:14">
      <c r="A14" s="120"/>
      <c r="B14" s="37"/>
      <c r="C14" s="37"/>
      <c r="D14" s="122" t="s">
        <v>15</v>
      </c>
      <c r="E14" s="122"/>
      <c r="F14" s="121" t="s">
        <v>25</v>
      </c>
      <c r="G14" s="100" t="str">
        <f>VLOOKUP(F14,Data!$B$122:$C$135,2,FALSE)</f>
        <v>Asus</v>
      </c>
      <c r="H14" s="100">
        <f>VLOOKUP(F14,Data!$B$122:$D$135,3,FALSE)</f>
        <v>2020</v>
      </c>
      <c r="I14" s="100">
        <f t="shared" ca="1" si="0"/>
        <v>6</v>
      </c>
      <c r="J14" s="121" t="s">
        <v>49</v>
      </c>
      <c r="K14" s="99" t="s">
        <v>19</v>
      </c>
      <c r="L14" s="99" t="s">
        <v>50</v>
      </c>
      <c r="M14" s="99"/>
      <c r="N14" s="99"/>
    </row>
    <row r="15" spans="1:14">
      <c r="A15" s="120">
        <v>5</v>
      </c>
      <c r="B15" s="37" t="s">
        <v>51</v>
      </c>
      <c r="C15" s="37" t="s">
        <v>52</v>
      </c>
      <c r="D15" s="122" t="s">
        <v>15</v>
      </c>
      <c r="E15" s="122" t="s">
        <v>53</v>
      </c>
      <c r="F15" s="121" t="s">
        <v>32</v>
      </c>
      <c r="G15" s="100" t="str">
        <f>VLOOKUP(F15,Data!$B$122:$C$135,2,FALSE)</f>
        <v>Acer</v>
      </c>
      <c r="H15" s="100">
        <f>VLOOKUP(F15,Data!$B$122:$D$135,3,FALSE)</f>
        <v>2024</v>
      </c>
      <c r="I15" s="100">
        <f t="shared" ca="1" si="0"/>
        <v>2</v>
      </c>
      <c r="J15" s="121" t="s">
        <v>54</v>
      </c>
      <c r="K15" s="99" t="s">
        <v>19</v>
      </c>
      <c r="L15" s="99" t="s">
        <v>51</v>
      </c>
      <c r="M15" s="99"/>
      <c r="N15" s="99"/>
    </row>
    <row r="16" spans="1:14">
      <c r="A16" s="120"/>
      <c r="B16" s="37"/>
      <c r="C16" s="37"/>
      <c r="D16" s="122" t="s">
        <v>15</v>
      </c>
      <c r="E16" s="122"/>
      <c r="F16" s="121" t="s">
        <v>17</v>
      </c>
      <c r="G16" s="100" t="str">
        <f>VLOOKUP(F16,Data!$B$122:$C$135,2,FALSE)</f>
        <v>Acer</v>
      </c>
      <c r="H16" s="100">
        <f>VLOOKUP(F16,Data!$B$122:$D$135,3,FALSE)</f>
        <v>2021</v>
      </c>
      <c r="I16" s="100">
        <f t="shared" ca="1" si="0"/>
        <v>5</v>
      </c>
      <c r="J16" s="121"/>
      <c r="K16" s="99" t="s">
        <v>19</v>
      </c>
      <c r="L16" s="99" t="s">
        <v>55</v>
      </c>
      <c r="M16" s="99"/>
      <c r="N16" s="99"/>
    </row>
    <row r="17" spans="1:14">
      <c r="A17" s="120"/>
      <c r="B17" s="37"/>
      <c r="C17" s="37"/>
      <c r="D17" s="122" t="s">
        <v>15</v>
      </c>
      <c r="E17" s="122"/>
      <c r="F17" s="121" t="s">
        <v>25</v>
      </c>
      <c r="G17" s="100" t="str">
        <f>VLOOKUP(F17,Data!$B$122:$C$135,2,FALSE)</f>
        <v>Asus</v>
      </c>
      <c r="H17" s="100">
        <f>VLOOKUP(F17,Data!$B$122:$D$135,3,FALSE)</f>
        <v>2020</v>
      </c>
      <c r="I17" s="100">
        <f t="shared" ca="1" si="0"/>
        <v>6</v>
      </c>
      <c r="J17" s="121" t="s">
        <v>56</v>
      </c>
      <c r="K17" s="99" t="s">
        <v>19</v>
      </c>
      <c r="L17" s="99" t="s">
        <v>57</v>
      </c>
      <c r="M17" s="99"/>
      <c r="N17" s="99"/>
    </row>
    <row r="18" spans="1:14">
      <c r="A18" s="120">
        <v>6</v>
      </c>
      <c r="B18" s="37" t="s">
        <v>58</v>
      </c>
      <c r="C18" s="37" t="s">
        <v>59</v>
      </c>
      <c r="D18" s="122" t="s">
        <v>15</v>
      </c>
      <c r="E18" s="122" t="s">
        <v>53</v>
      </c>
      <c r="F18" s="121" t="s">
        <v>32</v>
      </c>
      <c r="G18" s="100" t="str">
        <f>VLOOKUP(F18,Data!$B$122:$C$135,2,FALSE)</f>
        <v>Acer</v>
      </c>
      <c r="H18" s="100">
        <f>VLOOKUP(F18,Data!$B$122:$D$135,3,FALSE)</f>
        <v>2024</v>
      </c>
      <c r="I18" s="100">
        <f t="shared" ca="1" si="0"/>
        <v>2</v>
      </c>
      <c r="J18" s="121" t="s">
        <v>60</v>
      </c>
      <c r="K18" s="99" t="s">
        <v>19</v>
      </c>
      <c r="L18" s="99" t="s">
        <v>58</v>
      </c>
      <c r="M18" s="99"/>
      <c r="N18" s="99"/>
    </row>
    <row r="19" spans="1:14">
      <c r="A19" s="120">
        <v>7</v>
      </c>
      <c r="B19" s="37" t="s">
        <v>61</v>
      </c>
      <c r="C19" s="37" t="s">
        <v>62</v>
      </c>
      <c r="D19" s="122" t="s">
        <v>15</v>
      </c>
      <c r="E19" s="122" t="s">
        <v>63</v>
      </c>
      <c r="F19" s="121" t="s">
        <v>32</v>
      </c>
      <c r="G19" s="100" t="str">
        <f>VLOOKUP(F19,Data!$B$122:$C$135,2,FALSE)</f>
        <v>Acer</v>
      </c>
      <c r="H19" s="100">
        <f>VLOOKUP(F19,Data!$B$122:$D$135,3,FALSE)</f>
        <v>2024</v>
      </c>
      <c r="I19" s="100">
        <f t="shared" ca="1" si="0"/>
        <v>2</v>
      </c>
      <c r="J19" s="121" t="s">
        <v>64</v>
      </c>
      <c r="K19" s="99" t="s">
        <v>19</v>
      </c>
      <c r="L19" s="99" t="s">
        <v>61</v>
      </c>
      <c r="M19" s="99"/>
      <c r="N19" s="99"/>
    </row>
    <row r="20" spans="1:14">
      <c r="A20" s="120"/>
      <c r="B20" s="37"/>
      <c r="C20" s="37"/>
      <c r="D20" s="122" t="s">
        <v>15</v>
      </c>
      <c r="E20" s="122"/>
      <c r="F20" s="121" t="s">
        <v>32</v>
      </c>
      <c r="G20" s="100" t="str">
        <f>VLOOKUP(F20,Data!$B$122:$C$135,2,FALSE)</f>
        <v>Acer</v>
      </c>
      <c r="H20" s="100">
        <f>VLOOKUP(F20,Data!$B$122:$D$135,3,FALSE)</f>
        <v>2024</v>
      </c>
      <c r="I20" s="100">
        <f t="shared" ca="1" si="0"/>
        <v>2</v>
      </c>
      <c r="J20" s="121" t="s">
        <v>65</v>
      </c>
      <c r="K20" s="99" t="s">
        <v>19</v>
      </c>
      <c r="L20" s="99" t="s">
        <v>66</v>
      </c>
      <c r="M20" s="99"/>
      <c r="N20" s="99"/>
    </row>
    <row r="21" spans="1:14">
      <c r="A21" s="120">
        <v>8</v>
      </c>
      <c r="B21" s="37" t="s">
        <v>67</v>
      </c>
      <c r="C21" s="37" t="s">
        <v>68</v>
      </c>
      <c r="D21" s="122" t="s">
        <v>15</v>
      </c>
      <c r="E21" s="122" t="s">
        <v>63</v>
      </c>
      <c r="F21" s="121" t="s">
        <v>32</v>
      </c>
      <c r="G21" s="100" t="str">
        <f>VLOOKUP(F21,Data!$B$122:$C$135,2,FALSE)</f>
        <v>Acer</v>
      </c>
      <c r="H21" s="100">
        <f>VLOOKUP(F21,Data!$B$122:$D$135,3,FALSE)</f>
        <v>2024</v>
      </c>
      <c r="I21" s="100">
        <f t="shared" ca="1" si="0"/>
        <v>2</v>
      </c>
      <c r="J21" s="121" t="s">
        <v>69</v>
      </c>
      <c r="K21" s="99" t="s">
        <v>19</v>
      </c>
      <c r="L21" s="99" t="s">
        <v>67</v>
      </c>
      <c r="M21" s="99"/>
      <c r="N21" s="99"/>
    </row>
    <row r="22" spans="1:14" s="111" customFormat="1">
      <c r="A22" s="127"/>
      <c r="B22" s="128"/>
      <c r="C22" s="128"/>
      <c r="D22" s="122" t="s">
        <v>15</v>
      </c>
      <c r="E22" s="122"/>
      <c r="F22" s="121" t="s">
        <v>20</v>
      </c>
      <c r="G22" s="100" t="str">
        <f>VLOOKUP(F22,Data!$B$122:$C$135,2,FALSE)</f>
        <v>Apple</v>
      </c>
      <c r="H22" s="100">
        <f>VLOOKUP(F22,Data!$B$122:$D$135,3,FALSE)</f>
        <v>2023</v>
      </c>
      <c r="I22" s="100">
        <f t="shared" ca="1" si="0"/>
        <v>3</v>
      </c>
      <c r="J22" s="121"/>
      <c r="K22" s="99" t="s">
        <v>19</v>
      </c>
      <c r="L22" s="99" t="s">
        <v>67</v>
      </c>
      <c r="M22" s="99" t="s">
        <v>70</v>
      </c>
      <c r="N22" s="119" t="s">
        <v>71</v>
      </c>
    </row>
    <row r="23" spans="1:14">
      <c r="A23" s="120">
        <v>9</v>
      </c>
      <c r="B23" s="37" t="s">
        <v>72</v>
      </c>
      <c r="C23" s="37" t="s">
        <v>73</v>
      </c>
      <c r="D23" s="122" t="s">
        <v>15</v>
      </c>
      <c r="E23" s="122" t="s">
        <v>63</v>
      </c>
      <c r="F23" s="121" t="s">
        <v>20</v>
      </c>
      <c r="G23" s="100" t="str">
        <f>VLOOKUP(F23,Data!$B$122:$C$135,2,FALSE)</f>
        <v>Apple</v>
      </c>
      <c r="H23" s="100">
        <f>VLOOKUP(F23,Data!$B$122:$D$135,3,FALSE)</f>
        <v>2023</v>
      </c>
      <c r="I23" s="100">
        <f t="shared" ca="1" si="0"/>
        <v>3</v>
      </c>
      <c r="J23" s="121" t="s">
        <v>74</v>
      </c>
      <c r="K23" s="99" t="s">
        <v>19</v>
      </c>
      <c r="L23" s="99" t="s">
        <v>72</v>
      </c>
      <c r="M23" s="99"/>
      <c r="N23" s="99"/>
    </row>
    <row r="24" spans="1:14">
      <c r="A24" s="120">
        <v>10</v>
      </c>
      <c r="B24" s="37" t="s">
        <v>75</v>
      </c>
      <c r="C24" s="37" t="s">
        <v>76</v>
      </c>
      <c r="D24" s="122" t="s">
        <v>15</v>
      </c>
      <c r="E24" s="122" t="s">
        <v>63</v>
      </c>
      <c r="F24" s="121" t="s">
        <v>20</v>
      </c>
      <c r="G24" s="100" t="str">
        <f>VLOOKUP(F24,Data!$B$122:$C$135,2,FALSE)</f>
        <v>Apple</v>
      </c>
      <c r="H24" s="100">
        <f>VLOOKUP(F24,Data!$B$122:$D$135,3,FALSE)</f>
        <v>2023</v>
      </c>
      <c r="I24" s="100">
        <f t="shared" ca="1" si="0"/>
        <v>3</v>
      </c>
      <c r="J24" s="121" t="s">
        <v>77</v>
      </c>
      <c r="K24" s="99" t="s">
        <v>19</v>
      </c>
      <c r="L24" s="99" t="s">
        <v>75</v>
      </c>
      <c r="M24" s="99"/>
      <c r="N24" s="99"/>
    </row>
    <row r="25" spans="1:14">
      <c r="A25" s="120"/>
      <c r="B25" s="37"/>
      <c r="C25" s="37"/>
      <c r="D25" s="122" t="s">
        <v>15</v>
      </c>
      <c r="E25" s="122"/>
      <c r="F25" s="121" t="s">
        <v>78</v>
      </c>
      <c r="G25" s="100" t="str">
        <f>VLOOKUP(F25,Data!$B$122:$C$135,2,FALSE)</f>
        <v>Apple</v>
      </c>
      <c r="H25" s="100">
        <f>VLOOKUP(F25,Data!$B$122:$D$135,3,FALSE)</f>
        <v>2022</v>
      </c>
      <c r="I25" s="100">
        <f t="shared" ca="1" si="0"/>
        <v>4</v>
      </c>
      <c r="J25" s="121"/>
      <c r="K25" s="99" t="s">
        <v>19</v>
      </c>
      <c r="L25" s="99" t="s">
        <v>79</v>
      </c>
      <c r="M25" s="99"/>
      <c r="N25" s="99"/>
    </row>
    <row r="26" spans="1:14">
      <c r="A26" s="120">
        <v>11</v>
      </c>
      <c r="B26" s="37" t="s">
        <v>80</v>
      </c>
      <c r="C26" s="37" t="s">
        <v>81</v>
      </c>
      <c r="D26" s="122" t="s">
        <v>15</v>
      </c>
      <c r="E26" s="122" t="s">
        <v>63</v>
      </c>
      <c r="F26" s="121" t="s">
        <v>32</v>
      </c>
      <c r="G26" s="100" t="str">
        <f>VLOOKUP(F26,Data!$B$122:$C$135,2,FALSE)</f>
        <v>Acer</v>
      </c>
      <c r="H26" s="100">
        <f>VLOOKUP(F26,Data!$B$122:$D$135,3,FALSE)</f>
        <v>2024</v>
      </c>
      <c r="I26" s="100">
        <f t="shared" ca="1" si="0"/>
        <v>2</v>
      </c>
      <c r="J26" s="121" t="s">
        <v>82</v>
      </c>
      <c r="K26" s="99" t="s">
        <v>19</v>
      </c>
      <c r="L26" s="99" t="s">
        <v>80</v>
      </c>
      <c r="M26" s="99"/>
      <c r="N26" s="99"/>
    </row>
    <row r="27" spans="1:14">
      <c r="A27" s="120">
        <v>12</v>
      </c>
      <c r="B27" s="37" t="s">
        <v>83</v>
      </c>
      <c r="C27" s="37" t="s">
        <v>84</v>
      </c>
      <c r="D27" s="122" t="s">
        <v>15</v>
      </c>
      <c r="E27" s="122" t="s">
        <v>85</v>
      </c>
      <c r="F27" s="121" t="s">
        <v>32</v>
      </c>
      <c r="G27" s="100" t="str">
        <f>VLOOKUP(F27,Data!$B$122:$C$135,2,FALSE)</f>
        <v>Acer</v>
      </c>
      <c r="H27" s="100">
        <f>VLOOKUP(F27,Data!$B$122:$D$135,3,FALSE)</f>
        <v>2024</v>
      </c>
      <c r="I27" s="100">
        <f t="shared" ca="1" si="0"/>
        <v>2</v>
      </c>
      <c r="J27" s="121"/>
      <c r="K27" s="99"/>
      <c r="L27" s="99" t="s">
        <v>83</v>
      </c>
      <c r="M27" s="99"/>
      <c r="N27" s="99"/>
    </row>
    <row r="28" spans="1:14">
      <c r="A28" s="120">
        <v>12</v>
      </c>
      <c r="B28" s="37" t="s">
        <v>86</v>
      </c>
      <c r="C28" s="37" t="s">
        <v>87</v>
      </c>
      <c r="D28" s="122" t="s">
        <v>15</v>
      </c>
      <c r="E28" s="122" t="s">
        <v>85</v>
      </c>
      <c r="F28" s="121" t="s">
        <v>17</v>
      </c>
      <c r="G28" s="100" t="str">
        <f>VLOOKUP(F28,Data!$B$122:$C$135,2,FALSE)</f>
        <v>Acer</v>
      </c>
      <c r="H28" s="100">
        <f>VLOOKUP(F28,Data!$B$122:$D$135,3,FALSE)</f>
        <v>2021</v>
      </c>
      <c r="I28" s="100">
        <f t="shared" ca="1" si="0"/>
        <v>5</v>
      </c>
      <c r="J28" s="121" t="s">
        <v>88</v>
      </c>
      <c r="K28" s="99" t="s">
        <v>19</v>
      </c>
      <c r="L28" s="99" t="s">
        <v>86</v>
      </c>
      <c r="M28" s="99" t="s">
        <v>70</v>
      </c>
      <c r="N28" s="119" t="s">
        <v>89</v>
      </c>
    </row>
    <row r="29" spans="1:14">
      <c r="A29" s="120"/>
      <c r="B29" s="37"/>
      <c r="C29" s="37"/>
      <c r="D29" s="122"/>
      <c r="E29" s="122"/>
      <c r="F29" s="121" t="s">
        <v>20</v>
      </c>
      <c r="G29" s="100" t="str">
        <f>VLOOKUP(F29,Data!$B$122:$C$135,2,FALSE)</f>
        <v>Apple</v>
      </c>
      <c r="H29" s="100">
        <f>VLOOKUP(F29,Data!$B$122:$D$135,3,FALSE)</f>
        <v>2023</v>
      </c>
      <c r="I29" s="100">
        <f t="shared" ref="I29" ca="1" si="2">YEAR(TODAY()) - H29</f>
        <v>3</v>
      </c>
      <c r="J29" s="121"/>
      <c r="K29" s="99" t="s">
        <v>19</v>
      </c>
      <c r="L29" s="99" t="s">
        <v>86</v>
      </c>
      <c r="M29" s="99"/>
      <c r="N29" s="99"/>
    </row>
    <row r="30" spans="1:14">
      <c r="A30" s="120">
        <v>13</v>
      </c>
      <c r="B30" s="37" t="s">
        <v>90</v>
      </c>
      <c r="C30" s="37" t="s">
        <v>91</v>
      </c>
      <c r="D30" s="122" t="s">
        <v>15</v>
      </c>
      <c r="E30" s="122" t="s">
        <v>85</v>
      </c>
      <c r="F30" s="121" t="s">
        <v>17</v>
      </c>
      <c r="G30" s="100" t="str">
        <f>VLOOKUP(F30,Data!$B$122:$C$135,2,FALSE)</f>
        <v>Acer</v>
      </c>
      <c r="H30" s="100">
        <f>VLOOKUP(F30,Data!$B$122:$D$135,3,FALSE)</f>
        <v>2021</v>
      </c>
      <c r="I30" s="100">
        <f t="shared" ca="1" si="0"/>
        <v>5</v>
      </c>
      <c r="J30" s="121" t="s">
        <v>92</v>
      </c>
      <c r="K30" s="99" t="s">
        <v>19</v>
      </c>
      <c r="L30" s="99" t="s">
        <v>90</v>
      </c>
      <c r="M30" s="99"/>
      <c r="N30" s="99"/>
    </row>
    <row r="31" spans="1:14">
      <c r="A31" s="120">
        <v>14</v>
      </c>
      <c r="B31" s="37" t="s">
        <v>93</v>
      </c>
      <c r="C31" s="37" t="s">
        <v>94</v>
      </c>
      <c r="D31" s="122" t="s">
        <v>15</v>
      </c>
      <c r="E31" s="122" t="s">
        <v>95</v>
      </c>
      <c r="F31" s="121" t="s">
        <v>32</v>
      </c>
      <c r="G31" s="100" t="str">
        <f>VLOOKUP(F31,Data!$B$122:$C$135,2,FALSE)</f>
        <v>Acer</v>
      </c>
      <c r="H31" s="100">
        <f>VLOOKUP(F31,Data!$B$122:$D$135,3,FALSE)</f>
        <v>2024</v>
      </c>
      <c r="I31" s="100">
        <f t="shared" ca="1" si="0"/>
        <v>2</v>
      </c>
      <c r="J31" s="121" t="s">
        <v>96</v>
      </c>
      <c r="K31" s="99" t="s">
        <v>19</v>
      </c>
      <c r="L31" s="99" t="s">
        <v>93</v>
      </c>
      <c r="M31" s="99"/>
      <c r="N31" s="99"/>
    </row>
    <row r="32" spans="1:14">
      <c r="A32" s="120">
        <v>17</v>
      </c>
      <c r="B32" s="37" t="s">
        <v>97</v>
      </c>
      <c r="C32" s="37" t="s">
        <v>98</v>
      </c>
      <c r="D32" s="122" t="s">
        <v>99</v>
      </c>
      <c r="E32" s="122" t="s">
        <v>100</v>
      </c>
      <c r="F32" s="129" t="s">
        <v>39</v>
      </c>
      <c r="G32" s="100" t="str">
        <f>VLOOKUP(F32,Data!$B$122:$C$135,2,FALSE)</f>
        <v>Apple</v>
      </c>
      <c r="H32" s="100">
        <f>VLOOKUP(F32,Data!$B$122:$D$135,3,FALSE)</f>
        <v>2023</v>
      </c>
      <c r="I32" s="100">
        <v>1</v>
      </c>
      <c r="J32" s="121" t="s">
        <v>101</v>
      </c>
      <c r="K32" s="99" t="s">
        <v>19</v>
      </c>
      <c r="L32" s="99" t="s">
        <v>102</v>
      </c>
      <c r="M32" s="99"/>
      <c r="N32" s="99"/>
    </row>
    <row r="33" spans="1:14">
      <c r="A33" s="120"/>
      <c r="B33" s="37"/>
      <c r="C33" s="37"/>
      <c r="D33" s="122" t="s">
        <v>99</v>
      </c>
      <c r="E33" s="122"/>
      <c r="F33" s="129" t="s">
        <v>32</v>
      </c>
      <c r="G33" s="100" t="str">
        <f>VLOOKUP(F33,Data!$B$122:$C$135,2,FALSE)</f>
        <v>Acer</v>
      </c>
      <c r="H33" s="100">
        <f>VLOOKUP(F33,Data!$B$122:$D$135,3,FALSE)</f>
        <v>2024</v>
      </c>
      <c r="I33" s="100">
        <f t="shared" ref="I33:I99" ca="1" si="3">YEAR(TODAY()) - H33</f>
        <v>2</v>
      </c>
      <c r="J33" s="121" t="s">
        <v>103</v>
      </c>
      <c r="K33" s="99" t="s">
        <v>19</v>
      </c>
      <c r="L33" s="99" t="s">
        <v>104</v>
      </c>
      <c r="M33" s="99"/>
      <c r="N33" s="99"/>
    </row>
    <row r="34" spans="1:14">
      <c r="A34" s="120">
        <v>18</v>
      </c>
      <c r="B34" s="37" t="s">
        <v>105</v>
      </c>
      <c r="C34" s="37" t="s">
        <v>106</v>
      </c>
      <c r="D34" s="122" t="s">
        <v>99</v>
      </c>
      <c r="E34" s="122" t="s">
        <v>31</v>
      </c>
      <c r="F34" s="121" t="s">
        <v>107</v>
      </c>
      <c r="G34" s="100" t="str">
        <f>VLOOKUP(F34,Data!$B$122:$C$135,2,FALSE)</f>
        <v>Acer</v>
      </c>
      <c r="H34" s="100">
        <f>VLOOKUP(F34,Data!$B$122:$D$135,3,FALSE)</f>
        <v>2022</v>
      </c>
      <c r="I34" s="100">
        <v>1</v>
      </c>
      <c r="J34" s="121" t="s">
        <v>108</v>
      </c>
      <c r="K34" s="99" t="s">
        <v>109</v>
      </c>
      <c r="L34" s="119" t="s">
        <v>110</v>
      </c>
      <c r="M34" s="99" t="s">
        <v>111</v>
      </c>
      <c r="N34" s="99"/>
    </row>
    <row r="35" spans="1:14">
      <c r="A35" s="120"/>
      <c r="B35" s="37"/>
      <c r="C35" s="37"/>
      <c r="D35" s="122" t="s">
        <v>99</v>
      </c>
      <c r="E35" s="122"/>
      <c r="F35" s="121" t="s">
        <v>20</v>
      </c>
      <c r="G35" s="100" t="s">
        <v>112</v>
      </c>
      <c r="H35" s="100">
        <v>2023</v>
      </c>
      <c r="I35" s="100">
        <v>3</v>
      </c>
      <c r="J35" s="121"/>
      <c r="K35" s="99" t="s">
        <v>19</v>
      </c>
      <c r="L35" s="99"/>
      <c r="M35" s="99"/>
      <c r="N35" s="99"/>
    </row>
    <row r="36" spans="1:14">
      <c r="A36" s="120">
        <v>19</v>
      </c>
      <c r="B36" s="37" t="s">
        <v>113</v>
      </c>
      <c r="C36" s="37" t="s">
        <v>114</v>
      </c>
      <c r="D36" s="122" t="s">
        <v>99</v>
      </c>
      <c r="E36" s="122" t="s">
        <v>115</v>
      </c>
      <c r="F36" s="121" t="s">
        <v>20</v>
      </c>
      <c r="G36" s="100" t="str">
        <f>VLOOKUP(F36,Data!$B$122:$C$135,2,FALSE)</f>
        <v>Apple</v>
      </c>
      <c r="H36" s="100">
        <f>VLOOKUP(F36,Data!$B$122:$D$135,3,FALSE)</f>
        <v>2023</v>
      </c>
      <c r="I36" s="100">
        <f t="shared" ca="1" si="3"/>
        <v>3</v>
      </c>
      <c r="J36" s="121" t="s">
        <v>116</v>
      </c>
      <c r="K36" s="99" t="s">
        <v>19</v>
      </c>
      <c r="L36" s="99" t="s">
        <v>113</v>
      </c>
      <c r="M36" s="99"/>
      <c r="N36" s="99"/>
    </row>
    <row r="37" spans="1:14">
      <c r="A37" s="120"/>
      <c r="B37" s="37"/>
      <c r="C37" s="37"/>
      <c r="D37" s="122" t="s">
        <v>99</v>
      </c>
      <c r="E37" s="122"/>
      <c r="F37" s="121" t="s">
        <v>117</v>
      </c>
      <c r="G37" s="100" t="str">
        <f>VLOOKUP(F37,Data!$B$122:$C$135,2,FALSE)</f>
        <v>Apple</v>
      </c>
      <c r="H37" s="100">
        <f>VLOOKUP(F37,Data!$B$122:$D$135,3,FALSE)</f>
        <v>2017</v>
      </c>
      <c r="I37" s="100">
        <f t="shared" ca="1" si="3"/>
        <v>9</v>
      </c>
      <c r="J37" s="121" t="s">
        <v>118</v>
      </c>
      <c r="K37" s="99" t="s">
        <v>19</v>
      </c>
      <c r="L37" s="99" t="s">
        <v>113</v>
      </c>
      <c r="M37" s="99" t="s">
        <v>119</v>
      </c>
      <c r="N37" s="99"/>
    </row>
    <row r="38" spans="1:14">
      <c r="A38" s="120"/>
      <c r="B38" s="37"/>
      <c r="C38" s="37"/>
      <c r="D38" s="122" t="s">
        <v>99</v>
      </c>
      <c r="E38" s="122"/>
      <c r="F38" s="121" t="s">
        <v>32</v>
      </c>
      <c r="G38" s="100" t="str">
        <f>VLOOKUP(F38,Data!$B$122:$C$135,2,FALSE)</f>
        <v>Acer</v>
      </c>
      <c r="H38" s="100">
        <f>VLOOKUP(F38,Data!$B$122:$D$135,3,FALSE)</f>
        <v>2024</v>
      </c>
      <c r="I38" s="100">
        <f t="shared" ca="1" si="3"/>
        <v>2</v>
      </c>
      <c r="J38" s="121" t="s">
        <v>120</v>
      </c>
      <c r="K38" s="99" t="s">
        <v>19</v>
      </c>
      <c r="L38" s="99" t="s">
        <v>121</v>
      </c>
      <c r="M38" s="99" t="s">
        <v>111</v>
      </c>
      <c r="N38" s="99"/>
    </row>
    <row r="39" spans="1:14">
      <c r="A39" s="120"/>
      <c r="B39" s="37"/>
      <c r="C39" s="37"/>
      <c r="D39" s="122" t="s">
        <v>99</v>
      </c>
      <c r="E39" s="122"/>
      <c r="F39" s="121" t="s">
        <v>122</v>
      </c>
      <c r="G39" s="100" t="str">
        <f>VLOOKUP(F39,Data!$B$122:$C$135,2,FALSE)</f>
        <v>Asus</v>
      </c>
      <c r="H39" s="100">
        <f>VLOOKUP(F39,Data!$B$122:$D$135,3,FALSE)</f>
        <v>2021</v>
      </c>
      <c r="I39" s="100">
        <f t="shared" ca="1" si="3"/>
        <v>5</v>
      </c>
      <c r="J39" s="121" t="s">
        <v>123</v>
      </c>
      <c r="K39" s="99" t="s">
        <v>19</v>
      </c>
      <c r="L39" s="99" t="s">
        <v>113</v>
      </c>
      <c r="M39" s="99" t="s">
        <v>119</v>
      </c>
      <c r="N39" s="99" t="s">
        <v>124</v>
      </c>
    </row>
    <row r="40" spans="1:14">
      <c r="A40" s="120"/>
      <c r="B40" s="37"/>
      <c r="C40" s="37"/>
      <c r="D40" s="122" t="s">
        <v>99</v>
      </c>
      <c r="E40" s="122"/>
      <c r="F40" s="121" t="s">
        <v>125</v>
      </c>
      <c r="G40" s="100" t="str">
        <f>VLOOKUP(F40,Data!$B$122:$C$135,2,FALSE)</f>
        <v>Acer</v>
      </c>
      <c r="H40" s="100">
        <f>VLOOKUP(F40,Data!$B$122:$D$135,3,FALSE)</f>
        <v>2021</v>
      </c>
      <c r="I40" s="100">
        <f t="shared" ca="1" si="3"/>
        <v>5</v>
      </c>
      <c r="J40" s="121" t="s">
        <v>126</v>
      </c>
      <c r="K40" s="99" t="s">
        <v>19</v>
      </c>
      <c r="L40" s="99" t="s">
        <v>113</v>
      </c>
      <c r="M40" s="99" t="s">
        <v>119</v>
      </c>
      <c r="N40" s="99" t="s">
        <v>124</v>
      </c>
    </row>
    <row r="41" spans="1:14">
      <c r="A41" s="120">
        <v>20</v>
      </c>
      <c r="B41" s="37" t="s">
        <v>127</v>
      </c>
      <c r="C41" s="37" t="s">
        <v>128</v>
      </c>
      <c r="D41" s="122" t="s">
        <v>99</v>
      </c>
      <c r="E41" s="122" t="s">
        <v>63</v>
      </c>
      <c r="F41" s="121" t="s">
        <v>17</v>
      </c>
      <c r="G41" s="100" t="str">
        <f>VLOOKUP(F41,Data!$B$122:$C$135,2,FALSE)</f>
        <v>Acer</v>
      </c>
      <c r="H41" s="100">
        <f>VLOOKUP(F41,Data!$B$122:$D$135,3,FALSE)</f>
        <v>2021</v>
      </c>
      <c r="I41" s="100">
        <f t="shared" ca="1" si="3"/>
        <v>5</v>
      </c>
      <c r="J41" s="121" t="s">
        <v>129</v>
      </c>
      <c r="K41" s="99" t="s">
        <v>19</v>
      </c>
      <c r="L41" s="99"/>
      <c r="M41" s="99" t="s">
        <v>111</v>
      </c>
      <c r="N41" s="99"/>
    </row>
    <row r="42" spans="1:14">
      <c r="A42" s="120"/>
      <c r="B42" s="37"/>
      <c r="C42" s="37"/>
      <c r="D42" s="122" t="s">
        <v>99</v>
      </c>
      <c r="E42" s="122"/>
      <c r="F42" s="121" t="s">
        <v>32</v>
      </c>
      <c r="G42" s="100" t="str">
        <f>VLOOKUP(F42,Data!$B$122:$C$135,2,FALSE)</f>
        <v>Acer</v>
      </c>
      <c r="H42" s="100">
        <f>VLOOKUP(F42,Data!$B$122:$D$135,3,FALSE)</f>
        <v>2024</v>
      </c>
      <c r="I42" s="100">
        <f t="shared" ca="1" si="3"/>
        <v>2</v>
      </c>
      <c r="J42" s="121" t="s">
        <v>130</v>
      </c>
      <c r="K42" s="99" t="s">
        <v>19</v>
      </c>
      <c r="L42" s="99" t="s">
        <v>131</v>
      </c>
      <c r="M42" s="99"/>
      <c r="N42" s="99"/>
    </row>
    <row r="43" spans="1:14">
      <c r="A43" s="120"/>
      <c r="B43" s="37"/>
      <c r="C43" s="37"/>
      <c r="D43" s="122" t="s">
        <v>99</v>
      </c>
      <c r="E43" s="122"/>
      <c r="F43" s="121" t="s">
        <v>107</v>
      </c>
      <c r="G43" s="100" t="str">
        <f>VLOOKUP(F43,Data!$B$122:$C$135,2,FALSE)</f>
        <v>Acer</v>
      </c>
      <c r="H43" s="100">
        <f>VLOOKUP(F43,Data!$B$122:$D$135,3,FALSE)</f>
        <v>2022</v>
      </c>
      <c r="I43" s="100">
        <f t="shared" ca="1" si="3"/>
        <v>4</v>
      </c>
      <c r="J43" s="121" t="s">
        <v>132</v>
      </c>
      <c r="K43" s="99" t="s">
        <v>109</v>
      </c>
      <c r="L43" s="99" t="s">
        <v>133</v>
      </c>
      <c r="M43" s="99" t="s">
        <v>70</v>
      </c>
      <c r="N43" s="99"/>
    </row>
    <row r="44" spans="1:14">
      <c r="A44" s="120">
        <v>21</v>
      </c>
      <c r="B44" s="37" t="s">
        <v>134</v>
      </c>
      <c r="C44" s="37" t="s">
        <v>135</v>
      </c>
      <c r="D44" s="122" t="s">
        <v>99</v>
      </c>
      <c r="E44" s="122" t="s">
        <v>53</v>
      </c>
      <c r="F44" s="121" t="s">
        <v>20</v>
      </c>
      <c r="G44" s="100" t="str">
        <f>VLOOKUP(F44,Data!$B$122:$C$135,2,FALSE)</f>
        <v>Apple</v>
      </c>
      <c r="H44" s="100">
        <f>VLOOKUP(F44,Data!$B$122:$D$135,3,FALSE)</f>
        <v>2023</v>
      </c>
      <c r="I44" s="100">
        <f t="shared" ca="1" si="3"/>
        <v>3</v>
      </c>
      <c r="J44" s="121" t="s">
        <v>136</v>
      </c>
      <c r="K44" s="99" t="s">
        <v>19</v>
      </c>
      <c r="L44" s="99" t="s">
        <v>134</v>
      </c>
      <c r="M44" s="99"/>
      <c r="N44" s="99"/>
    </row>
    <row r="45" spans="1:14">
      <c r="A45" s="120"/>
      <c r="B45" s="37"/>
      <c r="C45" s="37"/>
      <c r="D45" s="122" t="s">
        <v>99</v>
      </c>
      <c r="E45" s="122"/>
      <c r="F45" s="121" t="s">
        <v>32</v>
      </c>
      <c r="G45" s="100" t="str">
        <f>VLOOKUP(F45,Data!$B$122:$C$135,2,FALSE)</f>
        <v>Acer</v>
      </c>
      <c r="H45" s="100">
        <f>VLOOKUP(F45,Data!$B$122:$D$135,3,FALSE)</f>
        <v>2024</v>
      </c>
      <c r="I45" s="100">
        <f t="shared" ca="1" si="3"/>
        <v>2</v>
      </c>
      <c r="J45" s="121" t="s">
        <v>137</v>
      </c>
      <c r="K45" s="99" t="s">
        <v>19</v>
      </c>
      <c r="L45" s="99" t="s">
        <v>138</v>
      </c>
      <c r="M45" s="99"/>
      <c r="N45" s="99"/>
    </row>
    <row r="46" spans="1:14">
      <c r="A46" s="120"/>
      <c r="B46" s="37"/>
      <c r="C46" s="37"/>
      <c r="D46" s="122" t="s">
        <v>99</v>
      </c>
      <c r="E46" s="122"/>
      <c r="F46" s="121" t="s">
        <v>107</v>
      </c>
      <c r="G46" s="100" t="str">
        <f>VLOOKUP(F46,Data!$B$122:$C$135,2,FALSE)</f>
        <v>Acer</v>
      </c>
      <c r="H46" s="100">
        <f>VLOOKUP(F46,Data!$B$122:$D$135,3,FALSE)</f>
        <v>2022</v>
      </c>
      <c r="I46" s="100">
        <f t="shared" ca="1" si="3"/>
        <v>4</v>
      </c>
      <c r="J46" s="121" t="s">
        <v>139</v>
      </c>
      <c r="K46" s="99" t="s">
        <v>109</v>
      </c>
      <c r="L46" s="99" t="s">
        <v>134</v>
      </c>
      <c r="M46" s="99" t="s">
        <v>119</v>
      </c>
      <c r="N46" s="99"/>
    </row>
    <row r="47" spans="1:14">
      <c r="A47" s="120">
        <v>22</v>
      </c>
      <c r="B47" s="37" t="s">
        <v>140</v>
      </c>
      <c r="C47" s="37" t="s">
        <v>141</v>
      </c>
      <c r="D47" s="122" t="s">
        <v>99</v>
      </c>
      <c r="E47" s="122" t="s">
        <v>63</v>
      </c>
      <c r="F47" s="121" t="s">
        <v>17</v>
      </c>
      <c r="G47" s="100" t="str">
        <f>VLOOKUP(F47,Data!$B$122:$C$135,2,FALSE)</f>
        <v>Acer</v>
      </c>
      <c r="H47" s="100">
        <f>VLOOKUP(F47,Data!$B$122:$D$135,3,FALSE)</f>
        <v>2021</v>
      </c>
      <c r="I47" s="100">
        <f t="shared" ca="1" si="3"/>
        <v>5</v>
      </c>
      <c r="J47" s="121" t="s">
        <v>142</v>
      </c>
      <c r="K47" s="99" t="s">
        <v>19</v>
      </c>
      <c r="L47" s="99" t="s">
        <v>140</v>
      </c>
      <c r="M47" s="99"/>
      <c r="N47" s="99"/>
    </row>
    <row r="48" spans="1:14">
      <c r="A48" s="120"/>
      <c r="B48" s="37"/>
      <c r="C48" s="37"/>
      <c r="D48" s="122" t="s">
        <v>99</v>
      </c>
      <c r="E48" s="122"/>
      <c r="F48" s="121" t="s">
        <v>32</v>
      </c>
      <c r="G48" s="100" t="str">
        <f>VLOOKUP(F48,Data!$B$122:$C$135,2,FALSE)</f>
        <v>Acer</v>
      </c>
      <c r="H48" s="100">
        <f>VLOOKUP(F48,Data!$B$122:$D$135,3,FALSE)</f>
        <v>2024</v>
      </c>
      <c r="I48" s="100">
        <f t="shared" ca="1" si="3"/>
        <v>2</v>
      </c>
      <c r="J48" s="121" t="s">
        <v>143</v>
      </c>
      <c r="K48" s="99" t="s">
        <v>19</v>
      </c>
      <c r="L48" s="99" t="s">
        <v>140</v>
      </c>
      <c r="M48" s="99" t="s">
        <v>111</v>
      </c>
      <c r="N48" s="99" t="s">
        <v>144</v>
      </c>
    </row>
    <row r="49" spans="1:14">
      <c r="A49" s="120">
        <v>23</v>
      </c>
      <c r="B49" s="37" t="s">
        <v>145</v>
      </c>
      <c r="C49" s="37" t="s">
        <v>146</v>
      </c>
      <c r="D49" s="122" t="s">
        <v>99</v>
      </c>
      <c r="E49" s="122" t="s">
        <v>85</v>
      </c>
      <c r="F49" s="121" t="s">
        <v>20</v>
      </c>
      <c r="G49" s="100" t="str">
        <f>VLOOKUP(F49,Data!$B$122:$C$135,2,FALSE)</f>
        <v>Apple</v>
      </c>
      <c r="H49" s="100">
        <f>VLOOKUP(F49,Data!$B$122:$D$135,3,FALSE)</f>
        <v>2023</v>
      </c>
      <c r="I49" s="100">
        <f t="shared" ca="1" si="3"/>
        <v>3</v>
      </c>
      <c r="J49" s="121" t="s">
        <v>147</v>
      </c>
      <c r="K49" s="99" t="s">
        <v>19</v>
      </c>
      <c r="L49" s="99" t="s">
        <v>145</v>
      </c>
      <c r="M49" s="99"/>
      <c r="N49" s="99"/>
    </row>
    <row r="50" spans="1:14">
      <c r="A50" s="120"/>
      <c r="B50" s="37"/>
      <c r="C50" s="37"/>
      <c r="D50" s="122" t="s">
        <v>99</v>
      </c>
      <c r="E50" s="122"/>
      <c r="F50" s="121" t="s">
        <v>17</v>
      </c>
      <c r="G50" s="100" t="str">
        <f>VLOOKUP(F50,Data!$B$122:$C$135,2,FALSE)</f>
        <v>Acer</v>
      </c>
      <c r="H50" s="100">
        <v>2022</v>
      </c>
      <c r="I50" s="100">
        <f t="shared" ca="1" si="3"/>
        <v>4</v>
      </c>
      <c r="J50" s="121" t="s">
        <v>148</v>
      </c>
      <c r="K50" s="99" t="s">
        <v>19</v>
      </c>
      <c r="L50" s="99"/>
      <c r="M50" s="99" t="s">
        <v>119</v>
      </c>
      <c r="N50" s="99"/>
    </row>
    <row r="51" spans="1:14">
      <c r="A51" s="120">
        <v>24</v>
      </c>
      <c r="B51" s="37" t="s">
        <v>149</v>
      </c>
      <c r="C51" s="37" t="s">
        <v>150</v>
      </c>
      <c r="D51" s="122" t="s">
        <v>99</v>
      </c>
      <c r="E51" s="122" t="s">
        <v>151</v>
      </c>
      <c r="F51" s="121" t="s">
        <v>17</v>
      </c>
      <c r="G51" s="100" t="str">
        <f>VLOOKUP(F51,Data!$B$122:$C$135,2,FALSE)</f>
        <v>Acer</v>
      </c>
      <c r="H51" s="100">
        <f>VLOOKUP(F51,Data!$B$122:$D$135,3,FALSE)</f>
        <v>2021</v>
      </c>
      <c r="I51" s="100">
        <f t="shared" ca="1" si="3"/>
        <v>5</v>
      </c>
      <c r="J51" s="121" t="s">
        <v>152</v>
      </c>
      <c r="K51" s="99" t="s">
        <v>19</v>
      </c>
      <c r="L51" s="99" t="s">
        <v>149</v>
      </c>
      <c r="M51" s="99"/>
      <c r="N51" s="99"/>
    </row>
    <row r="52" spans="1:14">
      <c r="A52" s="120"/>
      <c r="B52" s="37"/>
      <c r="C52" s="37"/>
      <c r="D52" s="122" t="s">
        <v>99</v>
      </c>
      <c r="E52" s="122"/>
      <c r="F52" s="121" t="s">
        <v>25</v>
      </c>
      <c r="G52" s="100" t="str">
        <f>VLOOKUP(F52,Data!$B$122:$C$135,2,FALSE)</f>
        <v>Asus</v>
      </c>
      <c r="H52" s="100">
        <f>VLOOKUP(F52,Data!$B$122:$D$135,3,FALSE)</f>
        <v>2020</v>
      </c>
      <c r="I52" s="100">
        <f t="shared" ca="1" si="3"/>
        <v>6</v>
      </c>
      <c r="J52" s="121" t="s">
        <v>153</v>
      </c>
      <c r="K52" s="99" t="s">
        <v>19</v>
      </c>
      <c r="L52" s="99" t="s">
        <v>149</v>
      </c>
      <c r="M52" s="99" t="s">
        <v>70</v>
      </c>
      <c r="N52" s="99"/>
    </row>
    <row r="53" spans="1:14">
      <c r="A53" s="120">
        <v>25</v>
      </c>
      <c r="B53" s="37" t="s">
        <v>154</v>
      </c>
      <c r="C53" s="37" t="s">
        <v>155</v>
      </c>
      <c r="D53" s="122" t="s">
        <v>99</v>
      </c>
      <c r="E53" s="122" t="s">
        <v>53</v>
      </c>
      <c r="F53" s="121" t="s">
        <v>17</v>
      </c>
      <c r="G53" s="100" t="s">
        <v>156</v>
      </c>
      <c r="H53" s="100">
        <v>2021</v>
      </c>
      <c r="I53" s="100">
        <f ca="1">YEAR(TODAY()) - H53</f>
        <v>5</v>
      </c>
      <c r="J53" s="130" t="s">
        <v>157</v>
      </c>
      <c r="K53" s="99"/>
      <c r="L53" s="99" t="s">
        <v>154</v>
      </c>
      <c r="M53" s="99"/>
      <c r="N53" s="99"/>
    </row>
    <row r="54" spans="1:14">
      <c r="A54" s="120">
        <v>26</v>
      </c>
      <c r="B54" s="37" t="s">
        <v>158</v>
      </c>
      <c r="C54" s="37" t="s">
        <v>159</v>
      </c>
      <c r="D54" s="122" t="s">
        <v>160</v>
      </c>
      <c r="E54" s="122" t="s">
        <v>16</v>
      </c>
      <c r="F54" s="121" t="s">
        <v>32</v>
      </c>
      <c r="G54" s="100" t="str">
        <f>VLOOKUP(F54,Data!$B$122:$C$135,2,FALSE)</f>
        <v>Acer</v>
      </c>
      <c r="H54" s="100">
        <f>VLOOKUP(F54,Data!$B$122:$D$135,3,FALSE)</f>
        <v>2024</v>
      </c>
      <c r="I54" s="100">
        <f t="shared" ca="1" si="3"/>
        <v>2</v>
      </c>
      <c r="J54" s="121" t="s">
        <v>161</v>
      </c>
      <c r="K54" s="99" t="s">
        <v>19</v>
      </c>
      <c r="L54" s="99" t="s">
        <v>162</v>
      </c>
      <c r="M54" s="99"/>
      <c r="N54" s="99" t="s">
        <v>163</v>
      </c>
    </row>
    <row r="55" spans="1:14">
      <c r="A55" s="120"/>
      <c r="B55" s="37"/>
      <c r="C55" s="37"/>
      <c r="D55" s="122"/>
      <c r="E55" s="122"/>
      <c r="F55" s="121" t="s">
        <v>32</v>
      </c>
      <c r="G55" s="100" t="str">
        <f>VLOOKUP(F55,Data!$B$122:$C$135,2,FALSE)</f>
        <v>Acer</v>
      </c>
      <c r="H55" s="100">
        <f>VLOOKUP(F55,Data!$B$122:$D$135,3,FALSE)</f>
        <v>2024</v>
      </c>
      <c r="I55" s="100">
        <f t="shared" ca="1" si="3"/>
        <v>2</v>
      </c>
      <c r="J55" s="99" t="s">
        <v>164</v>
      </c>
      <c r="K55" s="99" t="s">
        <v>19</v>
      </c>
      <c r="L55" s="99" t="s">
        <v>165</v>
      </c>
      <c r="M55" s="99"/>
      <c r="N55" s="99"/>
    </row>
    <row r="56" spans="1:14">
      <c r="A56" s="120"/>
      <c r="B56" s="37"/>
      <c r="C56" s="37"/>
      <c r="D56" s="122"/>
      <c r="E56" s="122"/>
      <c r="F56" s="121" t="s">
        <v>32</v>
      </c>
      <c r="G56" s="100" t="str">
        <f>VLOOKUP(F56,Data!$B$122:$C$135,2,FALSE)</f>
        <v>Acer</v>
      </c>
      <c r="H56" s="100">
        <f>VLOOKUP(F56,Data!$B$122:$D$135,3,FALSE)</f>
        <v>2024</v>
      </c>
      <c r="I56" s="100">
        <f t="shared" ca="1" si="3"/>
        <v>2</v>
      </c>
      <c r="J56" s="121" t="s">
        <v>166</v>
      </c>
      <c r="K56" s="99" t="s">
        <v>19</v>
      </c>
      <c r="L56" s="99" t="s">
        <v>167</v>
      </c>
      <c r="M56" s="99"/>
      <c r="N56" s="99"/>
    </row>
    <row r="57" spans="1:14">
      <c r="A57" s="120">
        <v>27</v>
      </c>
      <c r="B57" s="37" t="s">
        <v>168</v>
      </c>
      <c r="C57" s="37" t="s">
        <v>169</v>
      </c>
      <c r="D57" s="122" t="s">
        <v>160</v>
      </c>
      <c r="E57" s="122" t="s">
        <v>53</v>
      </c>
      <c r="F57" s="121" t="s">
        <v>20</v>
      </c>
      <c r="G57" s="100" t="str">
        <f>VLOOKUP(F57,Data!$B$122:$C$135,2,FALSE)</f>
        <v>Apple</v>
      </c>
      <c r="H57" s="100">
        <f>VLOOKUP(F57,Data!$B$122:$D$135,3,FALSE)</f>
        <v>2023</v>
      </c>
      <c r="I57" s="100">
        <f t="shared" ca="1" si="3"/>
        <v>3</v>
      </c>
      <c r="J57" s="99" t="s">
        <v>170</v>
      </c>
      <c r="K57" s="99" t="s">
        <v>19</v>
      </c>
      <c r="L57" s="99" t="s">
        <v>168</v>
      </c>
      <c r="M57" s="99"/>
      <c r="N57" s="99"/>
    </row>
    <row r="58" spans="1:14">
      <c r="A58" s="120"/>
      <c r="B58" s="37"/>
      <c r="C58" s="37"/>
      <c r="D58" s="122"/>
      <c r="E58" s="122"/>
      <c r="F58" s="121" t="s">
        <v>17</v>
      </c>
      <c r="G58" s="100" t="str">
        <f>VLOOKUP(F58,Data!$B$122:$C$135,2,FALSE)</f>
        <v>Acer</v>
      </c>
      <c r="H58" s="100">
        <f>VLOOKUP(F58,Data!$B$122:$D$135,3,FALSE)</f>
        <v>2021</v>
      </c>
      <c r="I58" s="100">
        <f t="shared" ca="1" si="3"/>
        <v>5</v>
      </c>
      <c r="J58" s="121" t="s">
        <v>171</v>
      </c>
      <c r="K58" s="99" t="s">
        <v>19</v>
      </c>
      <c r="L58" s="99" t="s">
        <v>172</v>
      </c>
      <c r="M58" s="99" t="s">
        <v>111</v>
      </c>
      <c r="N58" s="99"/>
    </row>
    <row r="59" spans="1:14">
      <c r="A59" s="120">
        <v>28</v>
      </c>
      <c r="B59" s="37" t="s">
        <v>173</v>
      </c>
      <c r="C59" s="37" t="s">
        <v>174</v>
      </c>
      <c r="D59" s="122" t="s">
        <v>160</v>
      </c>
      <c r="E59" s="122" t="s">
        <v>53</v>
      </c>
      <c r="F59" s="121" t="s">
        <v>20</v>
      </c>
      <c r="G59" s="100" t="str">
        <f>VLOOKUP(F59,Data!$B$122:$C$135,2,FALSE)</f>
        <v>Apple</v>
      </c>
      <c r="H59" s="100">
        <f>VLOOKUP(F59,Data!$B$122:$D$135,3,FALSE)</f>
        <v>2023</v>
      </c>
      <c r="I59" s="100">
        <f t="shared" ca="1" si="3"/>
        <v>3</v>
      </c>
      <c r="J59" s="121" t="s">
        <v>175</v>
      </c>
      <c r="K59" s="99" t="s">
        <v>19</v>
      </c>
      <c r="L59" s="99" t="s">
        <v>173</v>
      </c>
      <c r="M59" s="99"/>
      <c r="N59" s="99"/>
    </row>
    <row r="60" spans="1:14">
      <c r="A60" s="120"/>
      <c r="B60" s="37"/>
      <c r="C60" s="37"/>
      <c r="D60" s="122" t="s">
        <v>160</v>
      </c>
      <c r="E60" s="122"/>
      <c r="F60" s="121" t="s">
        <v>176</v>
      </c>
      <c r="G60" s="100" t="str">
        <f>VLOOKUP(F60,Data!$B$122:$C$135,2,FALSE)</f>
        <v>Apple</v>
      </c>
      <c r="H60" s="100">
        <f>VLOOKUP(F60,Data!$B$122:$D$135,3,FALSE)</f>
        <v>2022</v>
      </c>
      <c r="I60" s="100">
        <f t="shared" ca="1" si="3"/>
        <v>4</v>
      </c>
      <c r="J60" s="121" t="s">
        <v>177</v>
      </c>
      <c r="K60" s="99" t="s">
        <v>19</v>
      </c>
      <c r="L60" s="99" t="s">
        <v>154</v>
      </c>
      <c r="M60" s="99"/>
      <c r="N60" s="99" t="s">
        <v>178</v>
      </c>
    </row>
    <row r="61" spans="1:14">
      <c r="A61" s="120"/>
      <c r="B61" s="37"/>
      <c r="C61" s="37"/>
      <c r="D61" s="122" t="s">
        <v>160</v>
      </c>
      <c r="E61" s="122"/>
      <c r="F61" s="121" t="s">
        <v>107</v>
      </c>
      <c r="G61" s="100" t="str">
        <f>VLOOKUP(F61,Data!$B$122:$C$135,2,FALSE)</f>
        <v>Acer</v>
      </c>
      <c r="H61" s="100">
        <f>VLOOKUP(F61,Data!$B$122:$D$135,3,FALSE)</f>
        <v>2022</v>
      </c>
      <c r="I61" s="100">
        <f t="shared" ca="1" si="3"/>
        <v>4</v>
      </c>
      <c r="J61" s="121" t="s">
        <v>179</v>
      </c>
      <c r="K61" s="99" t="s">
        <v>109</v>
      </c>
      <c r="L61" s="99" t="s">
        <v>180</v>
      </c>
      <c r="M61" s="99"/>
      <c r="N61" s="99"/>
    </row>
    <row r="62" spans="1:14">
      <c r="A62" s="120"/>
      <c r="B62" s="37"/>
      <c r="C62" s="37"/>
      <c r="D62" s="122" t="s">
        <v>160</v>
      </c>
      <c r="E62" s="122"/>
      <c r="F62" s="121" t="s">
        <v>25</v>
      </c>
      <c r="G62" s="100" t="str">
        <f>VLOOKUP(F62,Data!$B$122:$C$135,2,FALSE)</f>
        <v>Asus</v>
      </c>
      <c r="H62" s="100">
        <f>VLOOKUP(F62,Data!$B$122:$D$135,3,FALSE)</f>
        <v>2020</v>
      </c>
      <c r="I62" s="100">
        <f t="shared" ca="1" si="3"/>
        <v>6</v>
      </c>
      <c r="J62" s="121"/>
      <c r="K62" s="99" t="s">
        <v>19</v>
      </c>
      <c r="L62" s="99" t="s">
        <v>181</v>
      </c>
      <c r="M62" s="99"/>
      <c r="N62" s="99"/>
    </row>
    <row r="63" spans="1:14">
      <c r="A63" s="120"/>
      <c r="B63" s="37"/>
      <c r="C63" s="37"/>
      <c r="D63" s="122" t="s">
        <v>160</v>
      </c>
      <c r="E63" s="122"/>
      <c r="F63" s="121" t="s">
        <v>17</v>
      </c>
      <c r="G63" s="100" t="str">
        <f>VLOOKUP(F63,Data!$B$122:$C$135,2,FALSE)</f>
        <v>Acer</v>
      </c>
      <c r="H63" s="100">
        <f>VLOOKUP(F63,Data!$B$122:$D$135,3,FALSE)</f>
        <v>2021</v>
      </c>
      <c r="I63" s="100">
        <f t="shared" ca="1" si="3"/>
        <v>5</v>
      </c>
      <c r="J63" s="121"/>
      <c r="K63" s="99" t="s">
        <v>19</v>
      </c>
      <c r="L63" s="106" t="s">
        <v>182</v>
      </c>
      <c r="M63" s="99"/>
      <c r="N63" s="106"/>
    </row>
    <row r="64" spans="1:14">
      <c r="A64" s="120"/>
      <c r="B64" s="37"/>
      <c r="C64" s="37"/>
      <c r="D64" s="122" t="s">
        <v>160</v>
      </c>
      <c r="E64" s="122"/>
      <c r="F64" s="121" t="s">
        <v>107</v>
      </c>
      <c r="G64" s="100" t="str">
        <f>VLOOKUP(F64,Data!$B$122:$C$135,2,FALSE)</f>
        <v>Acer</v>
      </c>
      <c r="H64" s="100">
        <f>VLOOKUP(F64,Data!$B$122:$D$135,3,FALSE)</f>
        <v>2022</v>
      </c>
      <c r="I64" s="100">
        <f t="shared" ca="1" si="3"/>
        <v>4</v>
      </c>
      <c r="J64" s="121" t="s">
        <v>183</v>
      </c>
      <c r="K64" s="99" t="s">
        <v>109</v>
      </c>
      <c r="L64" s="99"/>
      <c r="M64" s="99" t="s">
        <v>119</v>
      </c>
      <c r="N64" s="99"/>
    </row>
    <row r="65" spans="1:14">
      <c r="A65" s="120">
        <v>29</v>
      </c>
      <c r="B65" s="37" t="s">
        <v>184</v>
      </c>
      <c r="C65" s="37" t="s">
        <v>185</v>
      </c>
      <c r="D65" s="122" t="s">
        <v>160</v>
      </c>
      <c r="E65" s="122" t="s">
        <v>53</v>
      </c>
      <c r="F65" s="121" t="s">
        <v>17</v>
      </c>
      <c r="G65" s="100" t="str">
        <f>VLOOKUP(F65,Data!$B$122:$C$135,2,FALSE)</f>
        <v>Acer</v>
      </c>
      <c r="H65" s="100">
        <f>VLOOKUP(F65,Data!$B$122:$D$135,3,FALSE)</f>
        <v>2021</v>
      </c>
      <c r="I65" s="100">
        <f t="shared" ca="1" si="3"/>
        <v>5</v>
      </c>
      <c r="J65" s="121" t="s">
        <v>186</v>
      </c>
      <c r="K65" s="99" t="s">
        <v>19</v>
      </c>
      <c r="L65" s="99" t="s">
        <v>184</v>
      </c>
      <c r="M65" s="99"/>
      <c r="N65" s="99"/>
    </row>
    <row r="66" spans="1:14">
      <c r="A66" s="120">
        <v>30</v>
      </c>
      <c r="B66" s="37" t="s">
        <v>187</v>
      </c>
      <c r="C66" s="37" t="s">
        <v>188</v>
      </c>
      <c r="D66" s="122" t="s">
        <v>160</v>
      </c>
      <c r="E66" s="122" t="s">
        <v>53</v>
      </c>
      <c r="F66" s="121" t="s">
        <v>20</v>
      </c>
      <c r="G66" s="100" t="str">
        <f>VLOOKUP(F66,Data!$B$122:$C$135,2,FALSE)</f>
        <v>Apple</v>
      </c>
      <c r="H66" s="100">
        <f>VLOOKUP(F66,Data!$B$122:$D$135,3,FALSE)</f>
        <v>2023</v>
      </c>
      <c r="I66" s="100">
        <f t="shared" ca="1" si="3"/>
        <v>3</v>
      </c>
      <c r="J66" s="121" t="s">
        <v>189</v>
      </c>
      <c r="K66" s="99" t="s">
        <v>19</v>
      </c>
      <c r="L66" s="99" t="s">
        <v>187</v>
      </c>
      <c r="M66" s="99"/>
      <c r="N66" s="99"/>
    </row>
    <row r="67" spans="1:14">
      <c r="A67" s="120">
        <v>31</v>
      </c>
      <c r="B67" s="37" t="s">
        <v>190</v>
      </c>
      <c r="C67" s="37" t="s">
        <v>191</v>
      </c>
      <c r="D67" s="122" t="s">
        <v>160</v>
      </c>
      <c r="E67" s="122" t="s">
        <v>53</v>
      </c>
      <c r="F67" s="121" t="s">
        <v>20</v>
      </c>
      <c r="G67" s="100" t="s">
        <v>112</v>
      </c>
      <c r="H67" s="100">
        <v>2023</v>
      </c>
      <c r="I67" s="100">
        <v>3</v>
      </c>
      <c r="J67" s="121" t="s">
        <v>192</v>
      </c>
      <c r="K67" s="99" t="s">
        <v>19</v>
      </c>
      <c r="L67" s="99" t="s">
        <v>190</v>
      </c>
      <c r="M67" s="99"/>
      <c r="N67" s="99"/>
    </row>
    <row r="68" spans="1:14">
      <c r="A68" s="120"/>
      <c r="B68" s="37"/>
      <c r="C68" s="37"/>
      <c r="D68" s="122" t="s">
        <v>160</v>
      </c>
      <c r="E68" s="122"/>
      <c r="F68" s="121" t="s">
        <v>193</v>
      </c>
      <c r="G68" s="100" t="s">
        <v>112</v>
      </c>
      <c r="H68" s="100">
        <v>2023</v>
      </c>
      <c r="I68" s="100">
        <v>3</v>
      </c>
      <c r="J68" s="121" t="s">
        <v>194</v>
      </c>
      <c r="K68" s="99" t="s">
        <v>19</v>
      </c>
      <c r="L68" s="99" t="s">
        <v>195</v>
      </c>
      <c r="M68" s="99" t="s">
        <v>111</v>
      </c>
      <c r="N68" s="99" t="s">
        <v>178</v>
      </c>
    </row>
    <row r="69" spans="1:14">
      <c r="A69" s="120"/>
      <c r="B69" s="37"/>
      <c r="C69" s="37"/>
      <c r="D69" s="122" t="s">
        <v>160</v>
      </c>
      <c r="E69" s="122"/>
      <c r="F69" s="121" t="s">
        <v>17</v>
      </c>
      <c r="G69" s="100" t="s">
        <v>156</v>
      </c>
      <c r="H69" s="100">
        <v>2021</v>
      </c>
      <c r="I69" s="100">
        <v>5</v>
      </c>
      <c r="J69" s="121" t="s">
        <v>196</v>
      </c>
      <c r="K69" s="99" t="s">
        <v>19</v>
      </c>
      <c r="L69" s="99" t="s">
        <v>197</v>
      </c>
      <c r="M69" s="99"/>
      <c r="N69" s="99" t="s">
        <v>198</v>
      </c>
    </row>
    <row r="70" spans="1:14">
      <c r="A70" s="120">
        <v>32</v>
      </c>
      <c r="B70" s="37" t="s">
        <v>199</v>
      </c>
      <c r="C70" s="37" t="s">
        <v>200</v>
      </c>
      <c r="D70" s="122" t="s">
        <v>160</v>
      </c>
      <c r="E70" s="122" t="s">
        <v>53</v>
      </c>
      <c r="F70" s="121"/>
      <c r="G70" s="100" t="e">
        <f>VLOOKUP(F70,Data!$B$122:$C$135,2,FALSE)</f>
        <v>#N/A</v>
      </c>
      <c r="H70" s="100" t="e">
        <f>VLOOKUP(F70,Data!$B$122:$D$135,3,FALSE)</f>
        <v>#N/A</v>
      </c>
      <c r="I70" s="100" t="e">
        <f ca="1">YEAR(TODAY()) - H70</f>
        <v>#N/A</v>
      </c>
      <c r="J70" s="121"/>
      <c r="K70" s="99"/>
      <c r="L70" s="99"/>
      <c r="M70" s="99"/>
      <c r="N70" s="99" t="s">
        <v>201</v>
      </c>
    </row>
    <row r="71" spans="1:14">
      <c r="A71" s="120">
        <v>33</v>
      </c>
      <c r="B71" s="37" t="s">
        <v>172</v>
      </c>
      <c r="C71" s="37" t="s">
        <v>202</v>
      </c>
      <c r="D71" s="122" t="s">
        <v>160</v>
      </c>
      <c r="E71" s="122" t="s">
        <v>63</v>
      </c>
      <c r="F71" s="121" t="s">
        <v>176</v>
      </c>
      <c r="G71" s="100" t="str">
        <f>VLOOKUP(F71,Data!$B$122:$C$135,2,FALSE)</f>
        <v>Apple</v>
      </c>
      <c r="H71" s="100">
        <f>VLOOKUP(F71,Data!$B$122:$D$135,3,FALSE)</f>
        <v>2022</v>
      </c>
      <c r="I71" s="100">
        <f ca="1">YEAR(TODAY()) - H71</f>
        <v>4</v>
      </c>
      <c r="J71" s="121" t="s">
        <v>203</v>
      </c>
      <c r="K71" s="99" t="s">
        <v>19</v>
      </c>
      <c r="L71" s="99" t="s">
        <v>204</v>
      </c>
      <c r="M71" s="99"/>
      <c r="N71" s="99"/>
    </row>
    <row r="72" spans="1:14">
      <c r="A72" s="120">
        <v>34</v>
      </c>
      <c r="B72" s="37" t="s">
        <v>205</v>
      </c>
      <c r="C72" s="37" t="s">
        <v>206</v>
      </c>
      <c r="D72" s="122" t="s">
        <v>160</v>
      </c>
      <c r="E72" s="122" t="s">
        <v>63</v>
      </c>
      <c r="F72" s="121" t="s">
        <v>78</v>
      </c>
      <c r="G72" s="100" t="str">
        <f>VLOOKUP(F72,Data!$B$122:$C$135,2,FALSE)</f>
        <v>Apple</v>
      </c>
      <c r="H72" s="100">
        <f>VLOOKUP(F72,Data!$B$122:$D$135,3,FALSE)</f>
        <v>2022</v>
      </c>
      <c r="I72" s="100">
        <f t="shared" ca="1" si="3"/>
        <v>4</v>
      </c>
      <c r="J72" s="121" t="s">
        <v>207</v>
      </c>
      <c r="K72" s="99" t="s">
        <v>19</v>
      </c>
      <c r="L72" s="99" t="s">
        <v>205</v>
      </c>
      <c r="M72" s="99"/>
      <c r="N72" s="99"/>
    </row>
    <row r="73" spans="1:14">
      <c r="A73" s="120"/>
      <c r="B73" s="37"/>
      <c r="C73" s="37"/>
      <c r="D73" s="122" t="s">
        <v>160</v>
      </c>
      <c r="E73" s="122"/>
      <c r="F73" s="121" t="s">
        <v>176</v>
      </c>
      <c r="G73" s="100" t="str">
        <f>VLOOKUP(F73,Data!$B$122:$C$135,2,FALSE)</f>
        <v>Apple</v>
      </c>
      <c r="H73" s="100">
        <f>VLOOKUP(F73,Data!$B$122:$D$135,3,FALSE)</f>
        <v>2022</v>
      </c>
      <c r="I73" s="100">
        <f t="shared" ca="1" si="3"/>
        <v>4</v>
      </c>
      <c r="J73" s="121" t="s">
        <v>208</v>
      </c>
      <c r="K73" s="99" t="s">
        <v>19</v>
      </c>
      <c r="L73" s="99" t="s">
        <v>205</v>
      </c>
      <c r="M73" s="99"/>
      <c r="N73" s="99"/>
    </row>
    <row r="74" spans="1:14">
      <c r="A74" s="120">
        <v>35</v>
      </c>
      <c r="B74" s="37" t="s">
        <v>209</v>
      </c>
      <c r="C74" s="37" t="s">
        <v>210</v>
      </c>
      <c r="D74" s="122" t="s">
        <v>160</v>
      </c>
      <c r="E74" s="122" t="s">
        <v>63</v>
      </c>
      <c r="F74" s="131" t="s">
        <v>39</v>
      </c>
      <c r="G74" s="100" t="str">
        <f>VLOOKUP(F74,Data!$B$122:$C$135,2,FALSE)</f>
        <v>Apple</v>
      </c>
      <c r="H74" s="100">
        <f>VLOOKUP(F74,Data!$B$122:$D$135,3,FALSE)</f>
        <v>2023</v>
      </c>
      <c r="I74" s="100">
        <f ca="1">YEAR(TODAY()) - H74</f>
        <v>3</v>
      </c>
      <c r="J74" s="121" t="s">
        <v>211</v>
      </c>
      <c r="K74" s="99" t="s">
        <v>19</v>
      </c>
      <c r="L74" s="99" t="s">
        <v>209</v>
      </c>
      <c r="M74" s="99"/>
      <c r="N74" s="99"/>
    </row>
    <row r="75" spans="1:14">
      <c r="A75" s="120"/>
      <c r="B75" s="37"/>
      <c r="C75" s="37"/>
      <c r="D75" s="122" t="s">
        <v>160</v>
      </c>
      <c r="E75" s="122"/>
      <c r="F75" s="121" t="s">
        <v>20</v>
      </c>
      <c r="G75" s="100" t="str">
        <f>VLOOKUP(F75,Data!$B$122:$C$135,2,FALSE)</f>
        <v>Apple</v>
      </c>
      <c r="H75" s="100">
        <f>VLOOKUP(F75,Data!$B$122:$D$135,3,FALSE)</f>
        <v>2023</v>
      </c>
      <c r="I75" s="100">
        <f ca="1">YEAR(TODAY()) - H75</f>
        <v>3</v>
      </c>
      <c r="J75" s="121" t="s">
        <v>212</v>
      </c>
      <c r="K75" s="99" t="s">
        <v>19</v>
      </c>
      <c r="L75" s="99" t="s">
        <v>213</v>
      </c>
      <c r="M75" s="99"/>
      <c r="N75" s="99" t="s">
        <v>213</v>
      </c>
    </row>
    <row r="76" spans="1:14">
      <c r="A76" s="120">
        <v>36</v>
      </c>
      <c r="B76" s="37" t="s">
        <v>214</v>
      </c>
      <c r="C76" s="37" t="s">
        <v>215</v>
      </c>
      <c r="D76" s="122" t="s">
        <v>160</v>
      </c>
      <c r="E76" s="122" t="s">
        <v>63</v>
      </c>
      <c r="F76" s="121" t="s">
        <v>32</v>
      </c>
      <c r="G76" s="100" t="str">
        <f>VLOOKUP(F76,Data!$B$122:$C$135,2,FALSE)</f>
        <v>Acer</v>
      </c>
      <c r="H76" s="100">
        <f>VLOOKUP(F76,Data!$B$122:$D$135,3,FALSE)</f>
        <v>2024</v>
      </c>
      <c r="I76" s="100">
        <f t="shared" ca="1" si="3"/>
        <v>2</v>
      </c>
      <c r="J76" s="121" t="s">
        <v>216</v>
      </c>
      <c r="K76" s="99" t="s">
        <v>19</v>
      </c>
      <c r="L76" s="99" t="s">
        <v>214</v>
      </c>
      <c r="M76" s="99"/>
      <c r="N76" s="99"/>
    </row>
    <row r="77" spans="1:14">
      <c r="A77" s="120">
        <v>37</v>
      </c>
      <c r="B77" s="37" t="s">
        <v>165</v>
      </c>
      <c r="C77" s="37" t="s">
        <v>217</v>
      </c>
      <c r="D77" s="122" t="s">
        <v>160</v>
      </c>
      <c r="E77" s="122" t="s">
        <v>63</v>
      </c>
      <c r="F77" s="121"/>
      <c r="G77" s="100"/>
      <c r="H77" s="100"/>
      <c r="I77" s="100"/>
      <c r="J77" s="121"/>
      <c r="K77" s="99"/>
      <c r="L77" s="99" t="s">
        <v>218</v>
      </c>
      <c r="M77" s="99"/>
      <c r="N77" s="99"/>
    </row>
    <row r="78" spans="1:14">
      <c r="A78" s="120">
        <v>38</v>
      </c>
      <c r="B78" s="37" t="s">
        <v>219</v>
      </c>
      <c r="C78" s="37" t="s">
        <v>220</v>
      </c>
      <c r="D78" s="122" t="s">
        <v>160</v>
      </c>
      <c r="E78" s="122" t="s">
        <v>63</v>
      </c>
      <c r="F78" s="121" t="s">
        <v>32</v>
      </c>
      <c r="G78" s="100" t="str">
        <f>VLOOKUP(F78,Data!$B$122:$C$135,2,FALSE)</f>
        <v>Acer</v>
      </c>
      <c r="H78" s="100">
        <f>VLOOKUP(F78,Data!$B$122:$D$135,3,FALSE)</f>
        <v>2024</v>
      </c>
      <c r="I78" s="100">
        <f ca="1">YEAR(TODAY()) - H78</f>
        <v>2</v>
      </c>
      <c r="J78" s="121" t="s">
        <v>221</v>
      </c>
      <c r="K78" s="99" t="s">
        <v>19</v>
      </c>
      <c r="L78" s="99" t="s">
        <v>219</v>
      </c>
      <c r="M78" s="99"/>
      <c r="N78" s="99"/>
    </row>
    <row r="79" spans="1:14">
      <c r="A79" s="120">
        <v>39</v>
      </c>
      <c r="B79" s="37" t="s">
        <v>222</v>
      </c>
      <c r="C79" s="37" t="s">
        <v>223</v>
      </c>
      <c r="D79" s="122" t="s">
        <v>160</v>
      </c>
      <c r="E79" s="122" t="s">
        <v>85</v>
      </c>
      <c r="F79" s="121" t="s">
        <v>32</v>
      </c>
      <c r="G79" s="100" t="str">
        <f>VLOOKUP(F79,Data!$B$122:$C$135,2,FALSE)</f>
        <v>Acer</v>
      </c>
      <c r="H79" s="100">
        <f>VLOOKUP(F79,Data!$B$122:$D$135,3,FALSE)</f>
        <v>2024</v>
      </c>
      <c r="I79" s="100">
        <f ca="1">YEAR(TODAY()) - H79</f>
        <v>2</v>
      </c>
      <c r="J79" s="121"/>
      <c r="K79" s="99" t="s">
        <v>19</v>
      </c>
      <c r="L79" s="99" t="s">
        <v>222</v>
      </c>
      <c r="M79" s="99"/>
      <c r="N79" s="99"/>
    </row>
    <row r="80" spans="1:14">
      <c r="A80" s="120">
        <v>40</v>
      </c>
      <c r="B80" s="37" t="s">
        <v>224</v>
      </c>
      <c r="C80" s="37" t="s">
        <v>225</v>
      </c>
      <c r="D80" s="122" t="s">
        <v>160</v>
      </c>
      <c r="E80" s="122" t="s">
        <v>95</v>
      </c>
      <c r="F80" s="121" t="s">
        <v>107</v>
      </c>
      <c r="G80" s="100" t="str">
        <f>VLOOKUP(F80,Data!$B$122:$C$135,2,FALSE)</f>
        <v>Acer</v>
      </c>
      <c r="H80" s="100">
        <f>VLOOKUP(F80,Data!$B$122:$D$135,3,FALSE)</f>
        <v>2022</v>
      </c>
      <c r="I80" s="100">
        <f ca="1">YEAR(TODAY()) - H80</f>
        <v>4</v>
      </c>
      <c r="J80" s="121" t="s">
        <v>226</v>
      </c>
      <c r="K80" s="99" t="s">
        <v>109</v>
      </c>
      <c r="L80" s="99" t="s">
        <v>224</v>
      </c>
      <c r="M80" s="99"/>
      <c r="N80" s="99"/>
    </row>
    <row r="81" spans="1:14">
      <c r="A81" s="120">
        <v>41</v>
      </c>
      <c r="B81" s="37" t="s">
        <v>227</v>
      </c>
      <c r="C81" s="37" t="s">
        <v>228</v>
      </c>
      <c r="D81" s="122" t="s">
        <v>229</v>
      </c>
      <c r="E81" s="122" t="s">
        <v>230</v>
      </c>
      <c r="F81" s="121" t="s">
        <v>32</v>
      </c>
      <c r="G81" s="100" t="str">
        <f>VLOOKUP(F81,Data!$B$122:$C$135,2,FALSE)</f>
        <v>Acer</v>
      </c>
      <c r="H81" s="100">
        <f>VLOOKUP(F81,Data!$B$122:$D$135,3,FALSE)</f>
        <v>2024</v>
      </c>
      <c r="I81" s="100">
        <f t="shared" ca="1" si="3"/>
        <v>2</v>
      </c>
      <c r="J81" s="121" t="s">
        <v>231</v>
      </c>
      <c r="K81" s="99" t="s">
        <v>19</v>
      </c>
      <c r="L81" s="99" t="s">
        <v>232</v>
      </c>
      <c r="M81" s="99"/>
      <c r="N81" s="99"/>
    </row>
    <row r="82" spans="1:14">
      <c r="A82" s="120"/>
      <c r="B82" s="37"/>
      <c r="C82" s="37"/>
      <c r="D82" s="122" t="s">
        <v>229</v>
      </c>
      <c r="E82" s="122"/>
      <c r="F82" s="121" t="s">
        <v>32</v>
      </c>
      <c r="G82" s="100" t="str">
        <f>VLOOKUP(F82,Data!$B$122:$C$135,2,FALSE)</f>
        <v>Acer</v>
      </c>
      <c r="H82" s="100">
        <f>VLOOKUP(F82,Data!$B$122:$D$135,3,FALSE)</f>
        <v>2024</v>
      </c>
      <c r="I82" s="100">
        <f t="shared" ca="1" si="3"/>
        <v>2</v>
      </c>
      <c r="J82" s="121" t="s">
        <v>233</v>
      </c>
      <c r="K82" s="99" t="s">
        <v>19</v>
      </c>
      <c r="L82" s="99" t="s">
        <v>197</v>
      </c>
      <c r="M82" s="99"/>
      <c r="N82" s="99"/>
    </row>
    <row r="83" spans="1:14">
      <c r="A83" s="120"/>
      <c r="B83" s="37"/>
      <c r="C83" s="37"/>
      <c r="D83" s="122" t="s">
        <v>229</v>
      </c>
      <c r="E83" s="122"/>
      <c r="F83" s="121" t="s">
        <v>32</v>
      </c>
      <c r="G83" s="100" t="str">
        <f>VLOOKUP(F83,Data!$B$122:$C$135,2,FALSE)</f>
        <v>Acer</v>
      </c>
      <c r="H83" s="100">
        <f>VLOOKUP(F83,Data!$B$122:$D$135,3,FALSE)</f>
        <v>2024</v>
      </c>
      <c r="I83" s="100">
        <f t="shared" ca="1" si="3"/>
        <v>2</v>
      </c>
      <c r="J83" s="121" t="s">
        <v>234</v>
      </c>
      <c r="K83" s="99" t="s">
        <v>19</v>
      </c>
      <c r="L83" s="99" t="s">
        <v>235</v>
      </c>
      <c r="M83" s="99"/>
      <c r="N83" s="99"/>
    </row>
    <row r="84" spans="1:14">
      <c r="A84" s="120">
        <v>42</v>
      </c>
      <c r="B84" s="37" t="s">
        <v>236</v>
      </c>
      <c r="C84" s="37" t="s">
        <v>237</v>
      </c>
      <c r="D84" s="122" t="s">
        <v>229</v>
      </c>
      <c r="E84" s="122" t="s">
        <v>31</v>
      </c>
      <c r="F84" s="121" t="s">
        <v>32</v>
      </c>
      <c r="G84" s="100" t="str">
        <f>VLOOKUP(F84,Data!$B$122:$C$135,2,FALSE)</f>
        <v>Acer</v>
      </c>
      <c r="H84" s="100">
        <f>VLOOKUP(F84,Data!$B$122:$D$135,3,FALSE)</f>
        <v>2024</v>
      </c>
      <c r="I84" s="100">
        <f t="shared" ca="1" si="3"/>
        <v>2</v>
      </c>
      <c r="J84" s="121" t="s">
        <v>238</v>
      </c>
      <c r="K84" s="99" t="s">
        <v>19</v>
      </c>
      <c r="L84" s="99" t="s">
        <v>236</v>
      </c>
      <c r="M84" s="99"/>
      <c r="N84" s="99"/>
    </row>
    <row r="85" spans="1:14">
      <c r="A85" s="120">
        <v>43</v>
      </c>
      <c r="B85" s="37" t="s">
        <v>239</v>
      </c>
      <c r="C85" s="37" t="s">
        <v>240</v>
      </c>
      <c r="D85" s="122" t="s">
        <v>229</v>
      </c>
      <c r="E85" s="122" t="s">
        <v>31</v>
      </c>
      <c r="F85" s="121" t="s">
        <v>32</v>
      </c>
      <c r="G85" s="100" t="str">
        <f>VLOOKUP(F85,Data!$B$122:$C$135,2,FALSE)</f>
        <v>Acer</v>
      </c>
      <c r="H85" s="100">
        <f>VLOOKUP(F85,Data!$B$122:$D$135,3,FALSE)</f>
        <v>2024</v>
      </c>
      <c r="I85" s="100">
        <f t="shared" ca="1" si="3"/>
        <v>2</v>
      </c>
      <c r="J85" s="121" t="s">
        <v>65</v>
      </c>
      <c r="K85" s="99" t="s">
        <v>19</v>
      </c>
      <c r="L85" s="99" t="s">
        <v>239</v>
      </c>
      <c r="M85" s="99"/>
      <c r="N85" s="99"/>
    </row>
    <row r="86" spans="1:14">
      <c r="A86" s="120">
        <v>44</v>
      </c>
      <c r="B86" s="37" t="s">
        <v>241</v>
      </c>
      <c r="C86" s="37" t="s">
        <v>242</v>
      </c>
      <c r="D86" s="122" t="s">
        <v>229</v>
      </c>
      <c r="E86" s="122" t="s">
        <v>63</v>
      </c>
      <c r="F86" s="121" t="s">
        <v>17</v>
      </c>
      <c r="G86" s="100" t="str">
        <f>VLOOKUP(F86,Data!$B$122:$C$135,2,FALSE)</f>
        <v>Acer</v>
      </c>
      <c r="H86" s="100">
        <f>VLOOKUP(F86,Data!$B$122:$D$135,3,FALSE)</f>
        <v>2021</v>
      </c>
      <c r="I86" s="100">
        <f t="shared" ca="1" si="3"/>
        <v>5</v>
      </c>
      <c r="J86" s="121" t="s">
        <v>243</v>
      </c>
      <c r="K86" s="99" t="s">
        <v>19</v>
      </c>
      <c r="L86" s="99" t="s">
        <v>241</v>
      </c>
      <c r="M86" s="99"/>
      <c r="N86" s="99"/>
    </row>
    <row r="87" spans="1:14">
      <c r="A87" s="120">
        <v>45</v>
      </c>
      <c r="B87" s="37" t="s">
        <v>244</v>
      </c>
      <c r="C87" s="37" t="s">
        <v>245</v>
      </c>
      <c r="D87" s="122" t="s">
        <v>229</v>
      </c>
      <c r="E87" s="122" t="s">
        <v>63</v>
      </c>
      <c r="F87" s="121"/>
      <c r="G87" s="100" t="e">
        <f>VLOOKUP(F87,Data!$B$122:$C$135,2,FALSE)</f>
        <v>#N/A</v>
      </c>
      <c r="H87" s="100" t="e">
        <f>VLOOKUP(F87,Data!$B$122:$D$135,3,FALSE)</f>
        <v>#N/A</v>
      </c>
      <c r="I87" s="100" t="e">
        <f t="shared" ca="1" si="3"/>
        <v>#N/A</v>
      </c>
      <c r="J87" s="121"/>
      <c r="K87" s="99" t="s">
        <v>19</v>
      </c>
      <c r="L87" s="99"/>
      <c r="M87" s="99"/>
      <c r="N87" s="99"/>
    </row>
    <row r="88" spans="1:14">
      <c r="A88" s="120">
        <v>46</v>
      </c>
      <c r="B88" s="37" t="s">
        <v>246</v>
      </c>
      <c r="C88" s="37" t="s">
        <v>247</v>
      </c>
      <c r="D88" s="122" t="s">
        <v>229</v>
      </c>
      <c r="E88" s="122" t="s">
        <v>63</v>
      </c>
      <c r="F88" s="121" t="s">
        <v>32</v>
      </c>
      <c r="G88" s="100" t="str">
        <f>VLOOKUP(F88,Data!$B$122:$C$135,2,FALSE)</f>
        <v>Acer</v>
      </c>
      <c r="H88" s="100">
        <f>VLOOKUP(F88,Data!$B$122:$D$135,3,FALSE)</f>
        <v>2024</v>
      </c>
      <c r="I88" s="100">
        <f t="shared" ca="1" si="3"/>
        <v>2</v>
      </c>
      <c r="J88" s="121" t="s">
        <v>248</v>
      </c>
      <c r="K88" s="99" t="s">
        <v>19</v>
      </c>
      <c r="L88" s="99" t="s">
        <v>246</v>
      </c>
      <c r="M88" s="99"/>
      <c r="N88" s="99"/>
    </row>
    <row r="89" spans="1:14">
      <c r="A89" s="120">
        <v>47</v>
      </c>
      <c r="B89" s="37" t="s">
        <v>249</v>
      </c>
      <c r="C89" s="37" t="s">
        <v>250</v>
      </c>
      <c r="D89" s="122" t="s">
        <v>229</v>
      </c>
      <c r="E89" s="122" t="s">
        <v>63</v>
      </c>
      <c r="F89" s="121" t="s">
        <v>32</v>
      </c>
      <c r="G89" s="100" t="str">
        <f>VLOOKUP(F89,Data!$B$122:$C$135,2,FALSE)</f>
        <v>Acer</v>
      </c>
      <c r="H89" s="100">
        <f>VLOOKUP(F89,Data!$B$122:$D$135,3,FALSE)</f>
        <v>2024</v>
      </c>
      <c r="I89" s="100">
        <f t="shared" ca="1" si="3"/>
        <v>2</v>
      </c>
      <c r="J89" s="121" t="s">
        <v>251</v>
      </c>
      <c r="K89" s="99" t="s">
        <v>19</v>
      </c>
      <c r="L89" s="99" t="s">
        <v>249</v>
      </c>
      <c r="M89" s="99"/>
      <c r="N89" s="99"/>
    </row>
    <row r="90" spans="1:14">
      <c r="A90" s="120">
        <v>48</v>
      </c>
      <c r="B90" s="37" t="s">
        <v>252</v>
      </c>
      <c r="C90" s="37" t="s">
        <v>253</v>
      </c>
      <c r="D90" s="122" t="s">
        <v>229</v>
      </c>
      <c r="E90" s="122" t="s">
        <v>85</v>
      </c>
      <c r="F90" s="121" t="s">
        <v>39</v>
      </c>
      <c r="G90" s="100" t="str">
        <f>VLOOKUP(F90,Data!$B$122:$C$135,2,FALSE)</f>
        <v>Apple</v>
      </c>
      <c r="H90" s="100">
        <f>VLOOKUP(F90,Data!$B$122:$D$135,3,FALSE)</f>
        <v>2023</v>
      </c>
      <c r="I90" s="100">
        <f t="shared" ca="1" si="3"/>
        <v>3</v>
      </c>
      <c r="J90" s="121" t="s">
        <v>254</v>
      </c>
      <c r="K90" s="99" t="s">
        <v>19</v>
      </c>
      <c r="L90" s="99" t="s">
        <v>252</v>
      </c>
      <c r="M90" s="99"/>
      <c r="N90" s="99"/>
    </row>
    <row r="91" spans="1:14">
      <c r="A91" s="120">
        <v>49</v>
      </c>
      <c r="B91" s="37" t="s">
        <v>197</v>
      </c>
      <c r="C91" s="37" t="s">
        <v>255</v>
      </c>
      <c r="D91" s="122" t="s">
        <v>229</v>
      </c>
      <c r="E91" s="122" t="s">
        <v>85</v>
      </c>
      <c r="F91" s="121"/>
      <c r="G91" s="100" t="e">
        <f>VLOOKUP(F91,Data!$B$122:$C$135,2,FALSE)</f>
        <v>#N/A</v>
      </c>
      <c r="H91" s="100" t="e">
        <f>VLOOKUP(F91,Data!$B$122:$D$135,3,FALSE)</f>
        <v>#N/A</v>
      </c>
      <c r="I91" s="100" t="e">
        <f t="shared" ca="1" si="3"/>
        <v>#N/A</v>
      </c>
      <c r="J91" s="121"/>
      <c r="K91" s="99" t="s">
        <v>19</v>
      </c>
      <c r="L91" s="99"/>
      <c r="M91" s="99"/>
      <c r="N91" s="99"/>
    </row>
    <row r="92" spans="1:14">
      <c r="A92" s="120">
        <v>50</v>
      </c>
      <c r="B92" s="37" t="s">
        <v>256</v>
      </c>
      <c r="C92" s="37" t="s">
        <v>257</v>
      </c>
      <c r="D92" s="122" t="s">
        <v>258</v>
      </c>
      <c r="E92" s="122" t="s">
        <v>16</v>
      </c>
      <c r="F92" s="121" t="s">
        <v>32</v>
      </c>
      <c r="G92" s="100" t="str">
        <f>VLOOKUP(F92,Data!$B$122:$C$135,2,FALSE)</f>
        <v>Acer</v>
      </c>
      <c r="H92" s="100">
        <f>VLOOKUP(F92,Data!$B$122:$D$135,3,FALSE)</f>
        <v>2024</v>
      </c>
      <c r="I92" s="100">
        <f t="shared" ca="1" si="3"/>
        <v>2</v>
      </c>
      <c r="J92" s="121" t="s">
        <v>259</v>
      </c>
      <c r="K92" s="99" t="s">
        <v>19</v>
      </c>
      <c r="L92" s="99" t="s">
        <v>256</v>
      </c>
      <c r="M92" s="99"/>
      <c r="N92" s="99"/>
    </row>
    <row r="93" spans="1:14">
      <c r="A93" s="120"/>
      <c r="B93" s="37"/>
      <c r="C93" s="37"/>
      <c r="D93" s="122"/>
      <c r="E93" s="122"/>
      <c r="F93" s="121" t="s">
        <v>17</v>
      </c>
      <c r="G93" s="100" t="s">
        <v>156</v>
      </c>
      <c r="H93" s="100">
        <v>2021</v>
      </c>
      <c r="I93" s="100">
        <v>2</v>
      </c>
      <c r="J93" s="121" t="s">
        <v>260</v>
      </c>
      <c r="K93" s="99" t="s">
        <v>19</v>
      </c>
      <c r="L93" s="99" t="s">
        <v>256</v>
      </c>
      <c r="M93" s="99"/>
      <c r="N93" s="99"/>
    </row>
    <row r="94" spans="1:14">
      <c r="A94" s="120">
        <v>51</v>
      </c>
      <c r="B94" s="37" t="s">
        <v>261</v>
      </c>
      <c r="C94" s="37" t="s">
        <v>262</v>
      </c>
      <c r="D94" s="122" t="s">
        <v>258</v>
      </c>
      <c r="E94" s="122" t="s">
        <v>31</v>
      </c>
      <c r="F94" s="121" t="s">
        <v>32</v>
      </c>
      <c r="G94" s="100" t="str">
        <f>VLOOKUP(F94,Data!$B$122:$C$135,2,FALSE)</f>
        <v>Acer</v>
      </c>
      <c r="H94" s="100">
        <f>VLOOKUP(F94,Data!$B$122:$D$135,3,FALSE)</f>
        <v>2024</v>
      </c>
      <c r="I94" s="100">
        <f t="shared" ca="1" si="3"/>
        <v>2</v>
      </c>
      <c r="J94" s="121" t="s">
        <v>263</v>
      </c>
      <c r="K94" s="99" t="s">
        <v>19</v>
      </c>
      <c r="L94" s="99" t="s">
        <v>261</v>
      </c>
      <c r="M94" s="99"/>
      <c r="N94" s="99"/>
    </row>
    <row r="95" spans="1:14">
      <c r="A95" s="120">
        <v>52</v>
      </c>
      <c r="B95" s="37" t="s">
        <v>264</v>
      </c>
      <c r="C95" s="37" t="s">
        <v>265</v>
      </c>
      <c r="D95" s="122" t="s">
        <v>258</v>
      </c>
      <c r="E95" s="122" t="s">
        <v>53</v>
      </c>
      <c r="F95" s="121" t="s">
        <v>32</v>
      </c>
      <c r="G95" s="100" t="str">
        <f>VLOOKUP(F95,Data!$B$122:$C$135,2,FALSE)</f>
        <v>Acer</v>
      </c>
      <c r="H95" s="100">
        <f>VLOOKUP(F95,Data!$B$122:$D$135,3,FALSE)</f>
        <v>2024</v>
      </c>
      <c r="I95" s="100">
        <f t="shared" ca="1" si="3"/>
        <v>2</v>
      </c>
      <c r="J95" s="121" t="s">
        <v>266</v>
      </c>
      <c r="K95" s="99" t="s">
        <v>19</v>
      </c>
      <c r="L95" s="99" t="s">
        <v>264</v>
      </c>
      <c r="M95" s="99"/>
      <c r="N95" s="99"/>
    </row>
    <row r="96" spans="1:14">
      <c r="A96" s="120"/>
      <c r="B96" s="37"/>
      <c r="C96" s="37"/>
      <c r="D96" s="122" t="s">
        <v>258</v>
      </c>
      <c r="E96" s="122"/>
      <c r="F96" s="121" t="s">
        <v>17</v>
      </c>
      <c r="G96" s="100" t="str">
        <f>VLOOKUP(F96,Data!$B$122:$C$135,2,FALSE)</f>
        <v>Acer</v>
      </c>
      <c r="H96" s="100">
        <f>VLOOKUP(F96,Data!$B$122:$D$135,3,FALSE)</f>
        <v>2021</v>
      </c>
      <c r="I96" s="100">
        <f t="shared" ca="1" si="3"/>
        <v>5</v>
      </c>
      <c r="J96" s="121"/>
      <c r="K96" s="99" t="s">
        <v>19</v>
      </c>
      <c r="L96" s="99" t="s">
        <v>264</v>
      </c>
      <c r="M96" s="99"/>
      <c r="N96" s="99"/>
    </row>
    <row r="97" spans="1:14">
      <c r="A97" s="120">
        <v>53</v>
      </c>
      <c r="B97" s="37" t="s">
        <v>267</v>
      </c>
      <c r="C97" s="37" t="s">
        <v>268</v>
      </c>
      <c r="D97" s="122" t="s">
        <v>258</v>
      </c>
      <c r="E97" s="122" t="s">
        <v>53</v>
      </c>
      <c r="F97" s="121" t="s">
        <v>32</v>
      </c>
      <c r="G97" s="100" t="str">
        <f>VLOOKUP(F97,Data!$B$122:$C$135,2,FALSE)</f>
        <v>Acer</v>
      </c>
      <c r="H97" s="100">
        <f>VLOOKUP(F97,Data!$B$122:$D$135,3,FALSE)</f>
        <v>2024</v>
      </c>
      <c r="I97" s="100">
        <f t="shared" ca="1" si="3"/>
        <v>2</v>
      </c>
      <c r="J97" s="121" t="s">
        <v>269</v>
      </c>
      <c r="K97" s="99" t="s">
        <v>19</v>
      </c>
      <c r="L97" s="99" t="s">
        <v>270</v>
      </c>
      <c r="M97" s="99"/>
      <c r="N97" s="99"/>
    </row>
    <row r="98" spans="1:14">
      <c r="A98" s="120"/>
      <c r="B98" s="37"/>
      <c r="C98" s="37"/>
      <c r="D98" s="122" t="s">
        <v>258</v>
      </c>
      <c r="E98" s="122"/>
      <c r="F98" s="121" t="s">
        <v>78</v>
      </c>
      <c r="G98" s="100" t="str">
        <f>VLOOKUP(F98,Data!$B$122:$C$135,2,FALSE)</f>
        <v>Apple</v>
      </c>
      <c r="H98" s="100">
        <f>VLOOKUP(F98,Data!$B$122:$D$135,3,FALSE)</f>
        <v>2022</v>
      </c>
      <c r="I98" s="100">
        <f t="shared" ca="1" si="3"/>
        <v>4</v>
      </c>
      <c r="J98" s="121" t="s">
        <v>271</v>
      </c>
      <c r="K98" s="99" t="s">
        <v>19</v>
      </c>
      <c r="L98" s="99" t="s">
        <v>267</v>
      </c>
      <c r="M98" s="99"/>
      <c r="N98" s="99"/>
    </row>
    <row r="99" spans="1:14">
      <c r="A99" s="120">
        <v>54</v>
      </c>
      <c r="B99" s="37" t="s">
        <v>272</v>
      </c>
      <c r="C99" s="37" t="s">
        <v>273</v>
      </c>
      <c r="D99" s="122" t="s">
        <v>258</v>
      </c>
      <c r="E99" s="122" t="s">
        <v>63</v>
      </c>
      <c r="F99" s="121" t="s">
        <v>32</v>
      </c>
      <c r="G99" s="100" t="str">
        <f>VLOOKUP(F99,Data!$B$122:$C$135,2,FALSE)</f>
        <v>Acer</v>
      </c>
      <c r="H99" s="100">
        <f>VLOOKUP(F99,Data!$B$122:$D$135,3,FALSE)</f>
        <v>2024</v>
      </c>
      <c r="I99" s="100">
        <f t="shared" ca="1" si="3"/>
        <v>2</v>
      </c>
      <c r="J99" s="121" t="s">
        <v>274</v>
      </c>
      <c r="K99" s="99" t="s">
        <v>19</v>
      </c>
      <c r="L99" s="99" t="s">
        <v>272</v>
      </c>
      <c r="M99" s="99"/>
      <c r="N99" s="99"/>
    </row>
    <row r="100" spans="1:14">
      <c r="A100" s="120"/>
      <c r="B100" s="37"/>
      <c r="C100" s="37"/>
      <c r="D100" s="122" t="s">
        <v>258</v>
      </c>
      <c r="E100" s="122"/>
      <c r="F100" s="121" t="s">
        <v>17</v>
      </c>
      <c r="G100" s="100" t="str">
        <f>VLOOKUP(F100,Data!$B$122:$C$135,2,FALSE)</f>
        <v>Acer</v>
      </c>
      <c r="H100" s="100">
        <f>VLOOKUP(F100,Data!$B$122:$D$135,3,FALSE)</f>
        <v>2021</v>
      </c>
      <c r="I100" s="100">
        <f t="shared" ref="I100:I143" ca="1" si="4">YEAR(TODAY()) - H100</f>
        <v>5</v>
      </c>
      <c r="J100" s="121" t="s">
        <v>275</v>
      </c>
      <c r="K100" s="99" t="s">
        <v>19</v>
      </c>
      <c r="L100" s="99" t="s">
        <v>276</v>
      </c>
      <c r="M100" s="99"/>
      <c r="N100" s="99"/>
    </row>
    <row r="101" spans="1:14">
      <c r="A101" s="120">
        <v>55</v>
      </c>
      <c r="B101" s="37" t="s">
        <v>277</v>
      </c>
      <c r="C101" s="37" t="s">
        <v>278</v>
      </c>
      <c r="D101" s="122" t="s">
        <v>258</v>
      </c>
      <c r="E101" s="122" t="s">
        <v>63</v>
      </c>
      <c r="F101" s="121" t="s">
        <v>32</v>
      </c>
      <c r="G101" s="100" t="str">
        <f>VLOOKUP(F101,Data!$B$122:$C$135,2,FALSE)</f>
        <v>Acer</v>
      </c>
      <c r="H101" s="100">
        <f>VLOOKUP(F101,Data!$B$122:$D$135,3,FALSE)</f>
        <v>2024</v>
      </c>
      <c r="I101" s="100">
        <f t="shared" ca="1" si="4"/>
        <v>2</v>
      </c>
      <c r="J101" s="121" t="s">
        <v>279</v>
      </c>
      <c r="K101" s="99" t="s">
        <v>19</v>
      </c>
      <c r="L101" s="99" t="s">
        <v>277</v>
      </c>
      <c r="M101" s="99"/>
      <c r="N101" s="99"/>
    </row>
    <row r="102" spans="1:14">
      <c r="A102" s="120">
        <v>56</v>
      </c>
      <c r="B102" s="37" t="s">
        <v>280</v>
      </c>
      <c r="C102" s="37" t="s">
        <v>281</v>
      </c>
      <c r="D102" s="122" t="s">
        <v>258</v>
      </c>
      <c r="E102" s="122" t="s">
        <v>63</v>
      </c>
      <c r="F102" s="121" t="s">
        <v>32</v>
      </c>
      <c r="G102" s="100" t="str">
        <f>VLOOKUP(F102,Data!$B$122:$C$135,2,FALSE)</f>
        <v>Acer</v>
      </c>
      <c r="H102" s="100">
        <f>VLOOKUP(F102,Data!$B$122:$D$135,3,FALSE)</f>
        <v>2024</v>
      </c>
      <c r="I102" s="100">
        <f t="shared" ca="1" si="4"/>
        <v>2</v>
      </c>
      <c r="J102" s="121" t="s">
        <v>282</v>
      </c>
      <c r="K102" s="99" t="s">
        <v>19</v>
      </c>
      <c r="L102" s="99" t="s">
        <v>280</v>
      </c>
      <c r="M102" s="99"/>
      <c r="N102" s="99"/>
    </row>
    <row r="103" spans="1:14">
      <c r="A103" s="120">
        <v>57</v>
      </c>
      <c r="B103" s="37" t="s">
        <v>283</v>
      </c>
      <c r="C103" s="37" t="s">
        <v>284</v>
      </c>
      <c r="D103" s="122" t="s">
        <v>258</v>
      </c>
      <c r="E103" s="122" t="s">
        <v>85</v>
      </c>
      <c r="F103" s="121" t="s">
        <v>32</v>
      </c>
      <c r="G103" s="100" t="str">
        <f>VLOOKUP(F103,Data!$B$122:$C$135,2,FALSE)</f>
        <v>Acer</v>
      </c>
      <c r="H103" s="100">
        <f>VLOOKUP(F103,Data!$B$122:$D$135,3,FALSE)</f>
        <v>2024</v>
      </c>
      <c r="I103" s="100">
        <f t="shared" ca="1" si="4"/>
        <v>2</v>
      </c>
      <c r="J103" s="121" t="s">
        <v>285</v>
      </c>
      <c r="K103" s="99" t="s">
        <v>19</v>
      </c>
      <c r="L103" s="99" t="s">
        <v>283</v>
      </c>
      <c r="M103" s="99"/>
      <c r="N103" s="99"/>
    </row>
    <row r="104" spans="1:14">
      <c r="A104" s="120">
        <v>58</v>
      </c>
      <c r="B104" s="37" t="s">
        <v>286</v>
      </c>
      <c r="C104" s="37" t="s">
        <v>287</v>
      </c>
      <c r="D104" s="122" t="s">
        <v>258</v>
      </c>
      <c r="E104" s="122" t="s">
        <v>85</v>
      </c>
      <c r="F104" s="121" t="s">
        <v>32</v>
      </c>
      <c r="G104" s="100" t="str">
        <f>VLOOKUP(F104,Data!$B$122:$C$135,2,FALSE)</f>
        <v>Acer</v>
      </c>
      <c r="H104" s="100">
        <f>VLOOKUP(F104,Data!$B$122:$D$135,3,FALSE)</f>
        <v>2024</v>
      </c>
      <c r="I104" s="100">
        <f t="shared" ca="1" si="4"/>
        <v>2</v>
      </c>
      <c r="J104" s="121" t="s">
        <v>288</v>
      </c>
      <c r="K104" s="99" t="s">
        <v>19</v>
      </c>
      <c r="L104" s="99" t="s">
        <v>286</v>
      </c>
      <c r="M104" s="99"/>
      <c r="N104" s="99"/>
    </row>
    <row r="105" spans="1:14">
      <c r="A105" s="120">
        <v>59</v>
      </c>
      <c r="B105" s="37" t="s">
        <v>289</v>
      </c>
      <c r="C105" s="37" t="s">
        <v>290</v>
      </c>
      <c r="D105" s="122" t="s">
        <v>258</v>
      </c>
      <c r="E105" s="122" t="s">
        <v>85</v>
      </c>
      <c r="F105" s="121" t="s">
        <v>32</v>
      </c>
      <c r="G105" s="100" t="str">
        <f>VLOOKUP(F105,Data!$B$122:$C$135,2,FALSE)</f>
        <v>Acer</v>
      </c>
      <c r="H105" s="100">
        <f>VLOOKUP(F105,Data!$B$122:$D$135,3,FALSE)</f>
        <v>2024</v>
      </c>
      <c r="I105" s="100">
        <f t="shared" ca="1" si="4"/>
        <v>2</v>
      </c>
      <c r="J105" s="121" t="s">
        <v>291</v>
      </c>
      <c r="K105" s="99" t="s">
        <v>19</v>
      </c>
      <c r="L105" s="99" t="s">
        <v>289</v>
      </c>
      <c r="M105" s="99"/>
      <c r="N105" s="99"/>
    </row>
    <row r="106" spans="1:14">
      <c r="A106" s="120">
        <v>60</v>
      </c>
      <c r="B106" s="37" t="s">
        <v>292</v>
      </c>
      <c r="C106" s="37" t="s">
        <v>293</v>
      </c>
      <c r="D106" s="122" t="s">
        <v>258</v>
      </c>
      <c r="E106" s="122" t="s">
        <v>85</v>
      </c>
      <c r="F106" s="121" t="s">
        <v>25</v>
      </c>
      <c r="G106" s="100" t="str">
        <f>VLOOKUP(F106,Data!$B$122:$C$135,2,FALSE)</f>
        <v>Asus</v>
      </c>
      <c r="H106" s="100">
        <f>VLOOKUP(F106,Data!$B$122:$D$135,3,FALSE)</f>
        <v>2020</v>
      </c>
      <c r="I106" s="100">
        <f t="shared" ca="1" si="4"/>
        <v>6</v>
      </c>
      <c r="J106" s="121" t="s">
        <v>294</v>
      </c>
      <c r="K106" s="99" t="s">
        <v>19</v>
      </c>
      <c r="L106" s="99" t="s">
        <v>295</v>
      </c>
      <c r="M106" s="99"/>
      <c r="N106" s="99"/>
    </row>
    <row r="107" spans="1:14">
      <c r="A107" s="120"/>
      <c r="B107" s="37" t="s">
        <v>296</v>
      </c>
      <c r="C107" s="37" t="s">
        <v>297</v>
      </c>
      <c r="D107" s="122" t="s">
        <v>298</v>
      </c>
      <c r="E107" s="122" t="s">
        <v>16</v>
      </c>
      <c r="F107" s="121" t="s">
        <v>299</v>
      </c>
      <c r="G107" s="100" t="str">
        <f>VLOOKUP(F107,Data!$B$122:$C$135,2,FALSE)</f>
        <v>Apple</v>
      </c>
      <c r="H107" s="100">
        <f>VLOOKUP(F107,Data!$B$122:$D$135,3,FALSE)</f>
        <v>2023</v>
      </c>
      <c r="I107" s="100">
        <f t="shared" ca="1" si="4"/>
        <v>3</v>
      </c>
      <c r="J107" s="121" t="s">
        <v>300</v>
      </c>
      <c r="K107" s="99" t="s">
        <v>19</v>
      </c>
      <c r="L107" s="99" t="s">
        <v>296</v>
      </c>
      <c r="M107" s="99"/>
      <c r="N107" s="99"/>
    </row>
    <row r="108" spans="1:14">
      <c r="A108" s="120"/>
      <c r="B108" s="37"/>
      <c r="C108" s="37"/>
      <c r="D108" s="122" t="s">
        <v>298</v>
      </c>
      <c r="E108" s="122"/>
      <c r="F108" s="121" t="s">
        <v>78</v>
      </c>
      <c r="G108" s="100" t="str">
        <f>VLOOKUP(F108,Data!$B$122:$C$135,2,FALSE)</f>
        <v>Apple</v>
      </c>
      <c r="H108" s="100">
        <f>VLOOKUP(F108,Data!$B$122:$D$135,3,FALSE)</f>
        <v>2022</v>
      </c>
      <c r="I108" s="100">
        <f t="shared" ca="1" si="4"/>
        <v>4</v>
      </c>
      <c r="J108" s="121" t="s">
        <v>301</v>
      </c>
      <c r="K108" s="99" t="s">
        <v>19</v>
      </c>
      <c r="L108" s="99" t="s">
        <v>296</v>
      </c>
      <c r="M108" s="99"/>
      <c r="N108" s="99"/>
    </row>
    <row r="109" spans="1:14">
      <c r="A109" s="120"/>
      <c r="B109" s="37" t="s">
        <v>302</v>
      </c>
      <c r="C109" s="37" t="s">
        <v>303</v>
      </c>
      <c r="D109" s="122" t="s">
        <v>298</v>
      </c>
      <c r="E109" s="122" t="s">
        <v>31</v>
      </c>
      <c r="F109" s="121" t="s">
        <v>78</v>
      </c>
      <c r="G109" s="100" t="str">
        <f>VLOOKUP(F109,Data!$B$122:$C$135,2,FALSE)</f>
        <v>Apple</v>
      </c>
      <c r="H109" s="100">
        <f>VLOOKUP(F109,Data!$B$122:$D$135,3,FALSE)</f>
        <v>2022</v>
      </c>
      <c r="I109" s="100">
        <f t="shared" ca="1" si="4"/>
        <v>4</v>
      </c>
      <c r="J109" s="121" t="s">
        <v>304</v>
      </c>
      <c r="K109" s="99" t="s">
        <v>19</v>
      </c>
      <c r="L109" s="99" t="s">
        <v>302</v>
      </c>
      <c r="M109" s="99"/>
      <c r="N109" s="99"/>
    </row>
    <row r="110" spans="1:14">
      <c r="A110" s="120"/>
      <c r="B110" s="37"/>
      <c r="C110" s="37"/>
      <c r="D110" s="122" t="s">
        <v>298</v>
      </c>
      <c r="E110" s="122"/>
      <c r="F110" s="121" t="s">
        <v>299</v>
      </c>
      <c r="G110" s="100" t="str">
        <f>VLOOKUP(F110,Data!$B$122:$C$135,2,FALSE)</f>
        <v>Apple</v>
      </c>
      <c r="H110" s="100">
        <f>VLOOKUP(F110,Data!$B$122:$D$135,3,FALSE)</f>
        <v>2023</v>
      </c>
      <c r="I110" s="100">
        <f t="shared" ca="1" si="4"/>
        <v>3</v>
      </c>
      <c r="J110" s="121" t="s">
        <v>305</v>
      </c>
      <c r="K110" s="99" t="s">
        <v>19</v>
      </c>
      <c r="L110" s="99" t="s">
        <v>306</v>
      </c>
      <c r="M110" s="99" t="s">
        <v>111</v>
      </c>
      <c r="N110" s="99"/>
    </row>
    <row r="111" spans="1:14">
      <c r="A111" s="120"/>
      <c r="B111" s="37" t="s">
        <v>307</v>
      </c>
      <c r="C111" s="37" t="s">
        <v>308</v>
      </c>
      <c r="D111" s="122" t="s">
        <v>298</v>
      </c>
      <c r="E111" s="122" t="s">
        <v>31</v>
      </c>
      <c r="F111" s="121" t="s">
        <v>20</v>
      </c>
      <c r="G111" s="100" t="str">
        <f>VLOOKUP(F111,Data!$B$122:$C$135,2,FALSE)</f>
        <v>Apple</v>
      </c>
      <c r="H111" s="100">
        <f>VLOOKUP(F111,Data!$B$122:$D$135,3,FALSE)</f>
        <v>2023</v>
      </c>
      <c r="I111" s="100">
        <f t="shared" ca="1" si="4"/>
        <v>3</v>
      </c>
      <c r="J111" s="121" t="s">
        <v>309</v>
      </c>
      <c r="K111" s="99" t="s">
        <v>19</v>
      </c>
      <c r="L111" s="99" t="s">
        <v>307</v>
      </c>
      <c r="M111" s="99"/>
      <c r="N111" s="99"/>
    </row>
    <row r="112" spans="1:14">
      <c r="A112" s="120"/>
      <c r="B112" s="37" t="s">
        <v>310</v>
      </c>
      <c r="C112" s="37" t="s">
        <v>311</v>
      </c>
      <c r="D112" s="122" t="s">
        <v>298</v>
      </c>
      <c r="E112" s="122" t="s">
        <v>23</v>
      </c>
      <c r="F112" s="121" t="s">
        <v>299</v>
      </c>
      <c r="G112" s="100" t="str">
        <f>VLOOKUP(F112,Data!$B$122:$C$135,2,FALSE)</f>
        <v>Apple</v>
      </c>
      <c r="H112" s="100">
        <f>VLOOKUP(F112,Data!$B$122:$D$135,3,FALSE)</f>
        <v>2023</v>
      </c>
      <c r="I112" s="100">
        <f t="shared" ca="1" si="4"/>
        <v>3</v>
      </c>
      <c r="J112" s="121" t="s">
        <v>312</v>
      </c>
      <c r="K112" s="99" t="s">
        <v>19</v>
      </c>
      <c r="L112" s="99" t="s">
        <v>310</v>
      </c>
      <c r="M112" s="99"/>
      <c r="N112" s="99"/>
    </row>
    <row r="113" spans="1:14">
      <c r="A113" s="120"/>
      <c r="B113" s="37"/>
      <c r="C113" s="37"/>
      <c r="D113" s="122" t="s">
        <v>298</v>
      </c>
      <c r="E113" s="122"/>
      <c r="F113" s="121" t="s">
        <v>299</v>
      </c>
      <c r="G113" s="100" t="str">
        <f>VLOOKUP(F113,Data!$B$122:$C$135,2,FALSE)</f>
        <v>Apple</v>
      </c>
      <c r="H113" s="100">
        <f>VLOOKUP(F113,Data!$B$122:$D$135,3,FALSE)</f>
        <v>2023</v>
      </c>
      <c r="I113" s="100">
        <f t="shared" ca="1" si="4"/>
        <v>3</v>
      </c>
      <c r="J113" s="132" t="s">
        <v>313</v>
      </c>
      <c r="K113" s="99" t="s">
        <v>19</v>
      </c>
      <c r="L113" s="99" t="s">
        <v>314</v>
      </c>
      <c r="M113" s="99"/>
      <c r="N113" s="99"/>
    </row>
    <row r="114" spans="1:14">
      <c r="A114" s="120"/>
      <c r="B114" s="37" t="s">
        <v>315</v>
      </c>
      <c r="C114" s="37" t="s">
        <v>316</v>
      </c>
      <c r="D114" s="122" t="s">
        <v>298</v>
      </c>
      <c r="E114" s="122" t="s">
        <v>53</v>
      </c>
      <c r="F114" s="121" t="s">
        <v>20</v>
      </c>
      <c r="G114" s="100" t="str">
        <f>VLOOKUP(F114,Data!$B$122:$C$135,2,FALSE)</f>
        <v>Apple</v>
      </c>
      <c r="H114" s="100">
        <f>VLOOKUP(F114,Data!$B$122:$D$135,3,FALSE)</f>
        <v>2023</v>
      </c>
      <c r="I114" s="100">
        <f t="shared" ref="I114:I116" ca="1" si="5">YEAR(TODAY()) - H114</f>
        <v>3</v>
      </c>
      <c r="J114" s="121" t="s">
        <v>317</v>
      </c>
      <c r="K114" s="99" t="s">
        <v>19</v>
      </c>
      <c r="L114" s="99" t="s">
        <v>315</v>
      </c>
      <c r="M114" s="99"/>
      <c r="N114" s="99"/>
    </row>
    <row r="115" spans="1:14">
      <c r="A115" s="120"/>
      <c r="B115" s="37" t="s">
        <v>318</v>
      </c>
      <c r="C115" s="37" t="s">
        <v>319</v>
      </c>
      <c r="D115" s="122" t="s">
        <v>298</v>
      </c>
      <c r="E115" s="122" t="s">
        <v>53</v>
      </c>
      <c r="F115" s="121" t="s">
        <v>20</v>
      </c>
      <c r="G115" s="100" t="str">
        <f>VLOOKUP(F115,Data!$B$122:$C$135,2,FALSE)</f>
        <v>Apple</v>
      </c>
      <c r="H115" s="100">
        <f>VLOOKUP(F115,Data!$B$122:$D$135,3,FALSE)</f>
        <v>2023</v>
      </c>
      <c r="I115" s="100">
        <f t="shared" ca="1" si="5"/>
        <v>3</v>
      </c>
      <c r="J115" s="121" t="s">
        <v>320</v>
      </c>
      <c r="K115" s="99" t="s">
        <v>19</v>
      </c>
      <c r="L115" s="99" t="s">
        <v>318</v>
      </c>
      <c r="M115" s="99"/>
      <c r="N115" s="99"/>
    </row>
    <row r="116" spans="1:14">
      <c r="A116" s="120"/>
      <c r="B116" s="37"/>
      <c r="C116" s="37"/>
      <c r="D116" s="122" t="s">
        <v>298</v>
      </c>
      <c r="E116" s="122"/>
      <c r="F116" s="121" t="s">
        <v>17</v>
      </c>
      <c r="G116" s="100" t="str">
        <f>VLOOKUP(F116,Data!$B$122:$C$135,2,FALSE)</f>
        <v>Acer</v>
      </c>
      <c r="H116" s="100">
        <f>VLOOKUP(F116,Data!$B$122:$D$135,3,FALSE)</f>
        <v>2021</v>
      </c>
      <c r="I116" s="100">
        <f t="shared" ca="1" si="5"/>
        <v>5</v>
      </c>
      <c r="J116" s="132" t="s">
        <v>321</v>
      </c>
      <c r="K116" s="99" t="s">
        <v>19</v>
      </c>
      <c r="L116" s="99" t="s">
        <v>322</v>
      </c>
      <c r="M116" s="99" t="s">
        <v>70</v>
      </c>
      <c r="N116" s="99"/>
    </row>
    <row r="117" spans="1:14" s="102" customFormat="1">
      <c r="A117" s="133"/>
      <c r="B117" s="122"/>
      <c r="C117" s="122"/>
      <c r="D117" s="122" t="s">
        <v>298</v>
      </c>
      <c r="E117" s="122"/>
      <c r="F117" s="134" t="s">
        <v>32</v>
      </c>
      <c r="G117" s="135" t="s">
        <v>156</v>
      </c>
      <c r="H117" s="135">
        <v>2024</v>
      </c>
      <c r="I117" s="135">
        <f ca="1">YEAR(TODAY()) - H117</f>
        <v>2</v>
      </c>
      <c r="J117" s="121" t="s">
        <v>323</v>
      </c>
      <c r="K117" s="99" t="s">
        <v>19</v>
      </c>
      <c r="L117" s="101" t="s">
        <v>324</v>
      </c>
      <c r="M117" s="99"/>
      <c r="N117" s="99"/>
    </row>
    <row r="118" spans="1:14">
      <c r="A118" s="120"/>
      <c r="B118" s="37" t="s">
        <v>325</v>
      </c>
      <c r="C118" s="37" t="s">
        <v>326</v>
      </c>
      <c r="D118" s="122" t="s">
        <v>298</v>
      </c>
      <c r="E118" s="122" t="s">
        <v>53</v>
      </c>
      <c r="F118" s="121" t="s">
        <v>299</v>
      </c>
      <c r="G118" s="100" t="str">
        <f>VLOOKUP(F118,Data!$B$122:$C$135,2,FALSE)</f>
        <v>Apple</v>
      </c>
      <c r="H118" s="100">
        <f>VLOOKUP(F118,Data!$B$122:$D$135,3,FALSE)</f>
        <v>2023</v>
      </c>
      <c r="I118" s="100">
        <f t="shared" ca="1" si="4"/>
        <v>3</v>
      </c>
      <c r="J118" s="132" t="s">
        <v>327</v>
      </c>
      <c r="K118" s="99" t="s">
        <v>19</v>
      </c>
      <c r="L118" s="99" t="s">
        <v>325</v>
      </c>
      <c r="M118" s="99"/>
      <c r="N118" s="99"/>
    </row>
    <row r="119" spans="1:14">
      <c r="A119" s="120"/>
      <c r="B119" s="37"/>
      <c r="C119" s="37"/>
      <c r="D119" s="122" t="s">
        <v>298</v>
      </c>
      <c r="E119" s="122"/>
      <c r="F119" s="121" t="s">
        <v>78</v>
      </c>
      <c r="G119" s="100" t="str">
        <f>VLOOKUP(F119,Data!$B$122:$C$135,2,FALSE)</f>
        <v>Apple</v>
      </c>
      <c r="H119" s="100">
        <f>VLOOKUP(F119,Data!$B$122:$D$135,3,FALSE)</f>
        <v>2022</v>
      </c>
      <c r="I119" s="100">
        <f t="shared" ca="1" si="4"/>
        <v>4</v>
      </c>
      <c r="J119" s="132" t="s">
        <v>328</v>
      </c>
      <c r="K119" s="99" t="s">
        <v>19</v>
      </c>
      <c r="L119" s="99" t="s">
        <v>325</v>
      </c>
      <c r="M119" s="99"/>
      <c r="N119" s="99"/>
    </row>
    <row r="120" spans="1:14">
      <c r="A120" s="120"/>
      <c r="B120" s="37"/>
      <c r="C120" s="37"/>
      <c r="D120" s="122" t="s">
        <v>298</v>
      </c>
      <c r="E120" s="122"/>
      <c r="F120" s="121" t="s">
        <v>17</v>
      </c>
      <c r="G120" s="100" t="str">
        <f>VLOOKUP(F120,Data!$B$122:$C$135,2,FALSE)</f>
        <v>Acer</v>
      </c>
      <c r="H120" s="100">
        <f>VLOOKUP(F120,Data!$B$122:$D$135,3,FALSE)</f>
        <v>2021</v>
      </c>
      <c r="I120" s="100">
        <f t="shared" ca="1" si="4"/>
        <v>5</v>
      </c>
      <c r="J120" s="132" t="s">
        <v>329</v>
      </c>
      <c r="K120" s="99" t="s">
        <v>19</v>
      </c>
      <c r="L120" s="99" t="s">
        <v>330</v>
      </c>
      <c r="M120" s="99" t="s">
        <v>119</v>
      </c>
      <c r="N120" s="99"/>
    </row>
    <row r="121" spans="1:14">
      <c r="A121" s="120"/>
      <c r="B121" s="37" t="s">
        <v>331</v>
      </c>
      <c r="C121" s="37" t="s">
        <v>332</v>
      </c>
      <c r="D121" s="122" t="s">
        <v>298</v>
      </c>
      <c r="E121" s="122" t="s">
        <v>53</v>
      </c>
      <c r="F121" s="121" t="s">
        <v>299</v>
      </c>
      <c r="G121" s="100" t="str">
        <f>VLOOKUP(F121,Data!$B$122:$C$135,2,FALSE)</f>
        <v>Apple</v>
      </c>
      <c r="H121" s="100">
        <f>VLOOKUP(F121,Data!$B$122:$D$135,3,FALSE)</f>
        <v>2023</v>
      </c>
      <c r="I121" s="100">
        <f t="shared" ca="1" si="4"/>
        <v>3</v>
      </c>
      <c r="J121" s="132" t="s">
        <v>333</v>
      </c>
      <c r="K121" s="99" t="s">
        <v>19</v>
      </c>
      <c r="L121" s="99" t="s">
        <v>331</v>
      </c>
      <c r="M121" s="99"/>
      <c r="N121" s="99"/>
    </row>
    <row r="122" spans="1:14">
      <c r="A122" s="120"/>
      <c r="B122" s="37" t="s">
        <v>334</v>
      </c>
      <c r="C122" s="37" t="s">
        <v>335</v>
      </c>
      <c r="D122" s="122" t="s">
        <v>298</v>
      </c>
      <c r="E122" s="122" t="s">
        <v>63</v>
      </c>
      <c r="F122" s="121" t="s">
        <v>78</v>
      </c>
      <c r="G122" s="100" t="str">
        <f>VLOOKUP(F122,Data!$B$122:$C$135,2,FALSE)</f>
        <v>Apple</v>
      </c>
      <c r="H122" s="100">
        <f>VLOOKUP(F122,Data!$B$122:$D$135,3,FALSE)</f>
        <v>2022</v>
      </c>
      <c r="I122" s="100">
        <f t="shared" ref="I122:I123" ca="1" si="6">YEAR(TODAY()) - H122</f>
        <v>4</v>
      </c>
      <c r="J122" s="132" t="s">
        <v>336</v>
      </c>
      <c r="K122" s="99" t="s">
        <v>19</v>
      </c>
      <c r="L122" s="119" t="s">
        <v>337</v>
      </c>
      <c r="M122" s="99"/>
      <c r="N122" s="99"/>
    </row>
    <row r="123" spans="1:14">
      <c r="A123" s="120"/>
      <c r="B123" s="37"/>
      <c r="C123" s="37"/>
      <c r="D123" s="122" t="s">
        <v>298</v>
      </c>
      <c r="E123" s="122"/>
      <c r="F123" s="121" t="s">
        <v>299</v>
      </c>
      <c r="G123" s="100" t="str">
        <f>VLOOKUP(F123,Data!$B$122:$C$135,2,FALSE)</f>
        <v>Apple</v>
      </c>
      <c r="H123" s="100">
        <f>VLOOKUP(F123,Data!$B$122:$D$135,3,FALSE)</f>
        <v>2023</v>
      </c>
      <c r="I123" s="100">
        <f t="shared" ca="1" si="6"/>
        <v>3</v>
      </c>
      <c r="J123" s="132" t="s">
        <v>338</v>
      </c>
      <c r="K123" s="99" t="s">
        <v>19</v>
      </c>
      <c r="L123" s="99" t="s">
        <v>334</v>
      </c>
      <c r="M123" s="99"/>
      <c r="N123" s="99"/>
    </row>
    <row r="124" spans="1:14">
      <c r="A124" s="120"/>
      <c r="B124" s="37" t="s">
        <v>339</v>
      </c>
      <c r="C124" s="37" t="s">
        <v>340</v>
      </c>
      <c r="D124" s="122" t="s">
        <v>298</v>
      </c>
      <c r="E124" s="122" t="s">
        <v>63</v>
      </c>
      <c r="F124" s="121" t="s">
        <v>299</v>
      </c>
      <c r="G124" s="100" t="str">
        <f>VLOOKUP(F124,Data!$B$122:$C$135,2,FALSE)</f>
        <v>Apple</v>
      </c>
      <c r="H124" s="100">
        <f>VLOOKUP(F124,Data!$B$122:$D$135,3,FALSE)</f>
        <v>2023</v>
      </c>
      <c r="I124" s="100">
        <f t="shared" ref="I124:I125" ca="1" si="7">YEAR(TODAY()) - H124</f>
        <v>3</v>
      </c>
      <c r="J124" s="132" t="s">
        <v>341</v>
      </c>
      <c r="K124" s="99" t="s">
        <v>19</v>
      </c>
      <c r="L124" s="99" t="s">
        <v>339</v>
      </c>
      <c r="M124" s="99"/>
      <c r="N124" s="99"/>
    </row>
    <row r="125" spans="1:14">
      <c r="A125" s="120"/>
      <c r="B125" s="37"/>
      <c r="C125" s="37"/>
      <c r="D125" s="122" t="s">
        <v>298</v>
      </c>
      <c r="E125" s="122"/>
      <c r="F125" s="121" t="s">
        <v>32</v>
      </c>
      <c r="G125" s="100" t="str">
        <f>VLOOKUP(F125,Data!$B$122:$C$135,2,FALSE)</f>
        <v>Acer</v>
      </c>
      <c r="H125" s="100">
        <f>VLOOKUP(F125,Data!$B$122:$D$135,3,FALSE)</f>
        <v>2024</v>
      </c>
      <c r="I125" s="100">
        <f t="shared" ca="1" si="7"/>
        <v>2</v>
      </c>
      <c r="J125" s="132" t="s">
        <v>342</v>
      </c>
      <c r="K125" s="99" t="s">
        <v>19</v>
      </c>
      <c r="L125" s="99" t="s">
        <v>339</v>
      </c>
      <c r="M125" s="99"/>
      <c r="N125" s="99"/>
    </row>
    <row r="126" spans="1:14">
      <c r="A126" s="120"/>
      <c r="B126" s="37" t="s">
        <v>343</v>
      </c>
      <c r="C126" s="37" t="s">
        <v>344</v>
      </c>
      <c r="D126" s="122" t="s">
        <v>298</v>
      </c>
      <c r="E126" s="122" t="s">
        <v>63</v>
      </c>
      <c r="F126" s="121" t="s">
        <v>299</v>
      </c>
      <c r="G126" s="100" t="str">
        <f>VLOOKUP(F126,Data!$B$122:$C$135,2,FALSE)</f>
        <v>Apple</v>
      </c>
      <c r="H126" s="100">
        <f>VLOOKUP(F126,Data!$B$122:$D$135,3,FALSE)</f>
        <v>2023</v>
      </c>
      <c r="I126" s="100">
        <f t="shared" ca="1" si="4"/>
        <v>3</v>
      </c>
      <c r="J126" s="132" t="s">
        <v>345</v>
      </c>
      <c r="K126" s="99" t="s">
        <v>19</v>
      </c>
      <c r="L126" s="99" t="s">
        <v>343</v>
      </c>
      <c r="M126" s="99"/>
      <c r="N126" s="99"/>
    </row>
    <row r="127" spans="1:14">
      <c r="A127" s="120"/>
      <c r="B127" s="37"/>
      <c r="C127" s="37"/>
      <c r="D127" s="122" t="s">
        <v>298</v>
      </c>
      <c r="E127" s="122"/>
      <c r="F127" s="121" t="s">
        <v>17</v>
      </c>
      <c r="G127" s="100" t="str">
        <f>VLOOKUP(F127,Data!$B$122:$C$135,2,FALSE)</f>
        <v>Acer</v>
      </c>
      <c r="H127" s="100">
        <f>VLOOKUP(F127,Data!$B$122:$D$135,3,FALSE)</f>
        <v>2021</v>
      </c>
      <c r="I127" s="100">
        <f t="shared" ca="1" si="4"/>
        <v>5</v>
      </c>
      <c r="J127" s="132" t="s">
        <v>346</v>
      </c>
      <c r="K127" s="99" t="s">
        <v>19</v>
      </c>
      <c r="L127" s="99" t="s">
        <v>330</v>
      </c>
      <c r="M127" s="99"/>
      <c r="N127" s="99"/>
    </row>
    <row r="128" spans="1:14">
      <c r="A128" s="120"/>
      <c r="B128" s="37" t="s">
        <v>347</v>
      </c>
      <c r="C128" s="37" t="s">
        <v>348</v>
      </c>
      <c r="D128" s="122" t="s">
        <v>298</v>
      </c>
      <c r="E128" s="122" t="s">
        <v>63</v>
      </c>
      <c r="F128" s="121" t="s">
        <v>299</v>
      </c>
      <c r="G128" s="100" t="str">
        <f>VLOOKUP(F128,Data!$B$122:$C$135,2,FALSE)</f>
        <v>Apple</v>
      </c>
      <c r="H128" s="100">
        <f>VLOOKUP(F128,Data!$B$122:$D$135,3,FALSE)</f>
        <v>2023</v>
      </c>
      <c r="I128" s="100">
        <f t="shared" ca="1" si="4"/>
        <v>3</v>
      </c>
      <c r="J128" s="132" t="s">
        <v>349</v>
      </c>
      <c r="K128" s="99" t="s">
        <v>19</v>
      </c>
      <c r="L128" s="99" t="s">
        <v>347</v>
      </c>
      <c r="M128" s="99"/>
      <c r="N128" s="99"/>
    </row>
    <row r="129" spans="1:14">
      <c r="A129" s="120"/>
      <c r="B129" s="37"/>
      <c r="C129" s="37"/>
      <c r="D129" s="122" t="s">
        <v>298</v>
      </c>
      <c r="E129" s="122"/>
      <c r="F129" s="121" t="s">
        <v>78</v>
      </c>
      <c r="G129" s="100" t="str">
        <f>VLOOKUP(F129,Data!$B$122:$C$135,2,FALSE)</f>
        <v>Apple</v>
      </c>
      <c r="H129" s="100">
        <f>VLOOKUP(F129,Data!$B$122:$D$135,3,FALSE)</f>
        <v>2022</v>
      </c>
      <c r="I129" s="100">
        <f t="shared" ca="1" si="4"/>
        <v>4</v>
      </c>
      <c r="J129" s="132" t="s">
        <v>350</v>
      </c>
      <c r="K129" s="99" t="s">
        <v>19</v>
      </c>
      <c r="L129" s="99" t="s">
        <v>347</v>
      </c>
      <c r="M129" s="99"/>
      <c r="N129" s="99"/>
    </row>
    <row r="130" spans="1:14">
      <c r="A130" s="120"/>
      <c r="B130" s="37" t="s">
        <v>351</v>
      </c>
      <c r="C130" s="37" t="s">
        <v>352</v>
      </c>
      <c r="D130" s="122" t="s">
        <v>298</v>
      </c>
      <c r="E130" s="122" t="s">
        <v>63</v>
      </c>
      <c r="F130" s="121" t="s">
        <v>299</v>
      </c>
      <c r="G130" s="100" t="str">
        <f>VLOOKUP(F130,Data!$B$122:$C$135,2,FALSE)</f>
        <v>Apple</v>
      </c>
      <c r="H130" s="100">
        <f>VLOOKUP(F130,Data!$B$122:$D$135,3,FALSE)</f>
        <v>2023</v>
      </c>
      <c r="I130" s="100">
        <f t="shared" ca="1" si="4"/>
        <v>3</v>
      </c>
      <c r="J130" s="132" t="s">
        <v>353</v>
      </c>
      <c r="K130" s="99" t="s">
        <v>19</v>
      </c>
      <c r="L130" s="99" t="s">
        <v>351</v>
      </c>
      <c r="M130" s="99"/>
      <c r="N130" s="99"/>
    </row>
    <row r="131" spans="1:14">
      <c r="A131" s="120"/>
      <c r="B131" s="37" t="s">
        <v>354</v>
      </c>
      <c r="C131" s="37" t="s">
        <v>355</v>
      </c>
      <c r="D131" s="122" t="s">
        <v>298</v>
      </c>
      <c r="E131" s="122" t="s">
        <v>63</v>
      </c>
      <c r="F131" s="121" t="s">
        <v>299</v>
      </c>
      <c r="G131" s="100" t="str">
        <f>VLOOKUP(F131,Data!$B$122:$C$135,2,FALSE)</f>
        <v>Apple</v>
      </c>
      <c r="H131" s="100">
        <f>VLOOKUP(F131,Data!$B$122:$D$135,3,FALSE)</f>
        <v>2023</v>
      </c>
      <c r="I131" s="100">
        <f t="shared" ref="I131" ca="1" si="8">YEAR(TODAY()) - H131</f>
        <v>3</v>
      </c>
      <c r="J131" s="132" t="s">
        <v>356</v>
      </c>
      <c r="K131" s="99" t="s">
        <v>19</v>
      </c>
      <c r="L131" s="99" t="s">
        <v>354</v>
      </c>
      <c r="M131" s="99"/>
      <c r="N131" s="99"/>
    </row>
    <row r="132" spans="1:14">
      <c r="A132" s="120"/>
      <c r="B132" s="37" t="s">
        <v>306</v>
      </c>
      <c r="C132" s="37" t="s">
        <v>357</v>
      </c>
      <c r="D132" s="122" t="s">
        <v>298</v>
      </c>
      <c r="E132" s="122" t="s">
        <v>85</v>
      </c>
      <c r="F132" s="121" t="s">
        <v>299</v>
      </c>
      <c r="G132" s="100" t="str">
        <f>VLOOKUP(F132,Data!$B$122:$C$135,2,FALSE)</f>
        <v>Apple</v>
      </c>
      <c r="H132" s="100">
        <f>VLOOKUP(F132,Data!$B$122:$D$135,3,FALSE)</f>
        <v>2023</v>
      </c>
      <c r="I132" s="100">
        <f t="shared" ref="I132" ca="1" si="9">YEAR(TODAY()) - H132</f>
        <v>3</v>
      </c>
      <c r="J132" s="132" t="s">
        <v>358</v>
      </c>
      <c r="K132" s="99" t="s">
        <v>19</v>
      </c>
      <c r="L132" s="99" t="s">
        <v>306</v>
      </c>
      <c r="M132" s="99" t="s">
        <v>119</v>
      </c>
      <c r="N132" s="99"/>
    </row>
    <row r="133" spans="1:14" s="102" customFormat="1">
      <c r="A133" s="133"/>
      <c r="B133" s="122" t="s">
        <v>359</v>
      </c>
      <c r="C133" s="122" t="s">
        <v>360</v>
      </c>
      <c r="D133" s="122" t="s">
        <v>298</v>
      </c>
      <c r="E133" s="122" t="s">
        <v>85</v>
      </c>
      <c r="F133" s="136" t="s">
        <v>299</v>
      </c>
      <c r="G133" s="137" t="s">
        <v>112</v>
      </c>
      <c r="H133" s="137">
        <v>2024</v>
      </c>
      <c r="I133" s="137">
        <v>0</v>
      </c>
      <c r="J133" s="138" t="s">
        <v>361</v>
      </c>
      <c r="K133" s="139" t="s">
        <v>19</v>
      </c>
      <c r="L133" s="140" t="s">
        <v>359</v>
      </c>
      <c r="M133" s="139"/>
      <c r="N133" s="99"/>
    </row>
    <row r="134" spans="1:14">
      <c r="A134" s="120"/>
      <c r="B134" s="37" t="s">
        <v>362</v>
      </c>
      <c r="C134" s="37" t="s">
        <v>363</v>
      </c>
      <c r="D134" s="122" t="s">
        <v>298</v>
      </c>
      <c r="E134" s="122" t="s">
        <v>85</v>
      </c>
      <c r="F134" s="121" t="s">
        <v>299</v>
      </c>
      <c r="G134" s="100" t="str">
        <f>VLOOKUP(F134,Data!$B$122:$C$135,2,FALSE)</f>
        <v>Apple</v>
      </c>
      <c r="H134" s="100">
        <f>VLOOKUP(F134,Data!$B$122:$D$135,3,FALSE)</f>
        <v>2023</v>
      </c>
      <c r="I134" s="100">
        <f t="shared" ref="I134" ca="1" si="10">YEAR(TODAY()) - H134</f>
        <v>3</v>
      </c>
      <c r="J134" s="132" t="s">
        <v>364</v>
      </c>
      <c r="K134" s="99" t="s">
        <v>19</v>
      </c>
      <c r="L134" s="99" t="s">
        <v>362</v>
      </c>
      <c r="M134" s="99"/>
      <c r="N134" s="99"/>
    </row>
    <row r="135" spans="1:14">
      <c r="A135" s="120"/>
      <c r="B135" s="37" t="s">
        <v>365</v>
      </c>
      <c r="C135" s="37" t="s">
        <v>366</v>
      </c>
      <c r="D135" s="122" t="s">
        <v>298</v>
      </c>
      <c r="E135" s="122" t="s">
        <v>367</v>
      </c>
      <c r="F135" s="121" t="s">
        <v>17</v>
      </c>
      <c r="G135" s="100" t="str">
        <f>VLOOKUP(F135,Data!$B$122:$C$135,2,FALSE)</f>
        <v>Acer</v>
      </c>
      <c r="H135" s="100">
        <f>VLOOKUP(F135,Data!$B$122:$D$135,3,FALSE)</f>
        <v>2021</v>
      </c>
      <c r="I135" s="100">
        <f t="shared" ca="1" si="4"/>
        <v>5</v>
      </c>
      <c r="J135" s="121" t="s">
        <v>368</v>
      </c>
      <c r="K135" s="99" t="s">
        <v>19</v>
      </c>
      <c r="L135" s="99" t="s">
        <v>369</v>
      </c>
      <c r="M135" s="99"/>
      <c r="N135" s="99"/>
    </row>
    <row r="136" spans="1:14">
      <c r="A136" s="120"/>
      <c r="B136" s="37"/>
      <c r="C136" s="37"/>
      <c r="D136" s="122" t="s">
        <v>298</v>
      </c>
      <c r="E136" s="122"/>
      <c r="F136" s="121" t="s">
        <v>17</v>
      </c>
      <c r="G136" s="100" t="str">
        <f>VLOOKUP(F136,Data!$B$122:$C$135,2,FALSE)</f>
        <v>Acer</v>
      </c>
      <c r="H136" s="100">
        <f>VLOOKUP(F136,Data!$B$122:$D$135,3,FALSE)</f>
        <v>2021</v>
      </c>
      <c r="I136" s="100">
        <f t="shared" ca="1" si="4"/>
        <v>5</v>
      </c>
      <c r="J136" s="121" t="s">
        <v>370</v>
      </c>
      <c r="K136" s="99" t="s">
        <v>19</v>
      </c>
      <c r="L136" s="99" t="s">
        <v>371</v>
      </c>
      <c r="M136" s="99"/>
      <c r="N136" s="99"/>
    </row>
    <row r="137" spans="1:14">
      <c r="A137" s="120"/>
      <c r="B137" s="37"/>
      <c r="C137" s="37"/>
      <c r="D137" s="122" t="s">
        <v>298</v>
      </c>
      <c r="E137" s="122"/>
      <c r="F137" s="121" t="s">
        <v>78</v>
      </c>
      <c r="G137" s="100" t="str">
        <f>VLOOKUP(F137,Data!$B$122:$C$135,2,FALSE)</f>
        <v>Apple</v>
      </c>
      <c r="H137" s="100">
        <f>VLOOKUP(F137,Data!$B$122:$D$135,3,FALSE)</f>
        <v>2022</v>
      </c>
      <c r="I137" s="100">
        <f t="shared" ref="I137" ca="1" si="11">YEAR(TODAY()) - H137</f>
        <v>4</v>
      </c>
      <c r="J137" s="121" t="s">
        <v>372</v>
      </c>
      <c r="K137" s="99" t="s">
        <v>19</v>
      </c>
      <c r="L137" s="99" t="s">
        <v>365</v>
      </c>
      <c r="M137" s="99"/>
      <c r="N137" s="99"/>
    </row>
    <row r="138" spans="1:14">
      <c r="A138" s="120"/>
      <c r="B138" s="37" t="s">
        <v>373</v>
      </c>
      <c r="C138" s="37" t="s">
        <v>374</v>
      </c>
      <c r="D138" s="122" t="s">
        <v>375</v>
      </c>
      <c r="E138" s="122" t="s">
        <v>376</v>
      </c>
      <c r="F138" s="121"/>
      <c r="G138" s="100" t="e">
        <f>VLOOKUP(F138,Data!$B$122:$C$135,2,FALSE)</f>
        <v>#N/A</v>
      </c>
      <c r="H138" s="100" t="e">
        <f>VLOOKUP(F138,Data!$B$122:$D$135,3,FALSE)</f>
        <v>#N/A</v>
      </c>
      <c r="I138" s="100" t="e">
        <f t="shared" ca="1" si="4"/>
        <v>#N/A</v>
      </c>
      <c r="J138" s="121"/>
      <c r="K138" s="99" t="s">
        <v>19</v>
      </c>
      <c r="L138" s="99"/>
      <c r="M138" s="99"/>
      <c r="N138" s="99"/>
    </row>
    <row r="139" spans="1:14">
      <c r="A139" s="120"/>
      <c r="B139" s="37" t="s">
        <v>377</v>
      </c>
      <c r="C139" s="37" t="s">
        <v>378</v>
      </c>
      <c r="D139" s="122" t="s">
        <v>375</v>
      </c>
      <c r="E139" s="122" t="s">
        <v>379</v>
      </c>
      <c r="F139" s="121"/>
      <c r="G139" s="100" t="e">
        <f>VLOOKUP(F139,Data!$B$122:$C$135,2,FALSE)</f>
        <v>#N/A</v>
      </c>
      <c r="H139" s="100" t="e">
        <f>VLOOKUP(F139,Data!$B$122:$D$135,3,FALSE)</f>
        <v>#N/A</v>
      </c>
      <c r="I139" s="100" t="e">
        <f t="shared" ca="1" si="4"/>
        <v>#N/A</v>
      </c>
      <c r="J139" s="121"/>
      <c r="K139" s="99" t="s">
        <v>19</v>
      </c>
      <c r="L139" s="99"/>
      <c r="M139" s="99"/>
      <c r="N139" s="99"/>
    </row>
    <row r="140" spans="1:14">
      <c r="A140" s="120"/>
      <c r="B140" s="37" t="s">
        <v>380</v>
      </c>
      <c r="C140" s="37" t="s">
        <v>381</v>
      </c>
      <c r="D140" s="122" t="s">
        <v>375</v>
      </c>
      <c r="E140" s="122" t="s">
        <v>382</v>
      </c>
      <c r="F140" s="121"/>
      <c r="G140" s="100" t="e">
        <f>VLOOKUP(F140,Data!$B$122:$C$135,2,FALSE)</f>
        <v>#N/A</v>
      </c>
      <c r="H140" s="100" t="e">
        <f>VLOOKUP(F140,Data!$B$122:$D$135,3,FALSE)</f>
        <v>#N/A</v>
      </c>
      <c r="I140" s="100" t="e">
        <f t="shared" ca="1" si="4"/>
        <v>#N/A</v>
      </c>
      <c r="J140" s="121"/>
      <c r="K140" s="99" t="s">
        <v>19</v>
      </c>
      <c r="L140" s="99"/>
      <c r="M140" s="99"/>
      <c r="N140" s="99"/>
    </row>
    <row r="141" spans="1:14">
      <c r="A141" s="120"/>
      <c r="B141" s="37" t="s">
        <v>383</v>
      </c>
      <c r="C141" s="37" t="s">
        <v>384</v>
      </c>
      <c r="D141" s="122" t="s">
        <v>375</v>
      </c>
      <c r="E141" s="122" t="s">
        <v>367</v>
      </c>
      <c r="F141" s="121" t="s">
        <v>32</v>
      </c>
      <c r="G141" s="100" t="str">
        <f>VLOOKUP(F141,Data!$B$122:$C$135,2,FALSE)</f>
        <v>Acer</v>
      </c>
      <c r="H141" s="100">
        <f>VLOOKUP(F141,Data!$B$122:$D$135,3,FALSE)</f>
        <v>2024</v>
      </c>
      <c r="I141" s="100">
        <f t="shared" ca="1" si="4"/>
        <v>2</v>
      </c>
      <c r="J141" s="121"/>
      <c r="K141" s="99" t="s">
        <v>19</v>
      </c>
      <c r="L141" s="99"/>
      <c r="M141" s="99"/>
      <c r="N141" s="99"/>
    </row>
    <row r="142" spans="1:14">
      <c r="A142" s="120"/>
      <c r="B142" s="37"/>
      <c r="C142" s="37"/>
      <c r="D142" s="122" t="s">
        <v>375</v>
      </c>
      <c r="E142" s="122"/>
      <c r="F142" s="121" t="s">
        <v>125</v>
      </c>
      <c r="G142" s="100" t="str">
        <f>VLOOKUP(F142,Data!$B$122:$C$135,2,FALSE)</f>
        <v>Acer</v>
      </c>
      <c r="H142" s="100">
        <f>VLOOKUP(F142,Data!$B$122:$D$135,3,FALSE)</f>
        <v>2021</v>
      </c>
      <c r="I142" s="100">
        <f t="shared" ca="1" si="4"/>
        <v>5</v>
      </c>
      <c r="J142" s="121"/>
      <c r="K142" s="99" t="s">
        <v>19</v>
      </c>
      <c r="L142" s="99" t="s">
        <v>385</v>
      </c>
      <c r="M142" s="99" t="s">
        <v>111</v>
      </c>
      <c r="N142" s="99"/>
    </row>
    <row r="143" spans="1:14">
      <c r="A143" s="120"/>
      <c r="B143" s="37" t="s">
        <v>385</v>
      </c>
      <c r="C143" s="37" t="s">
        <v>386</v>
      </c>
      <c r="D143" s="122" t="s">
        <v>375</v>
      </c>
      <c r="E143" s="122" t="s">
        <v>387</v>
      </c>
      <c r="F143" s="121"/>
      <c r="G143" s="100" t="e">
        <f>VLOOKUP(F143,Data!$B$122:$C$135,2,FALSE)</f>
        <v>#N/A</v>
      </c>
      <c r="H143" s="100" t="e">
        <f>VLOOKUP(F143,Data!$B$122:$D$135,3,FALSE)</f>
        <v>#N/A</v>
      </c>
      <c r="I143" s="100" t="e">
        <f t="shared" ca="1" si="4"/>
        <v>#N/A</v>
      </c>
      <c r="J143" s="121"/>
      <c r="K143" s="99" t="s">
        <v>19</v>
      </c>
      <c r="L143" s="99"/>
      <c r="M143" s="99"/>
      <c r="N143" s="99"/>
    </row>
  </sheetData>
  <autoFilter ref="A1:N143" xr:uid="{DCD2415C-4972-FC46-A295-9E1A94F1BE26}"/>
  <phoneticPr fontId="4" type="noConversion"/>
  <conditionalFormatting sqref="G1:I1048576">
    <cfRule type="containsErrors" dxfId="26" priority="10" stopIfTrue="1">
      <formula>ISERROR(G1)</formula>
    </cfRule>
  </conditionalFormatting>
  <dataValidations count="1">
    <dataValidation allowBlank="1" showInputMessage="1" showErrorMessage="1" sqref="L1:L1048576" xr:uid="{2D3B1E18-7160-4E44-9629-A64508EC8E89}"/>
  </dataValidations>
  <pageMargins left="0.7" right="0.7" top="0.75" bottom="0.75" header="0.3" footer="0.3"/>
  <pageSetup paperSize="9"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361DBD13-0023-47E7-93BA-7217D911EE54}">
            <xm:f>ISNUMBER(MATCH(L2,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L33:N35 L38:N38 L42:N42 L45:N45 L48:N48 L18:L19 L49:L53 L2:L5 L6:N6 L8:L9 L26:L31 L64:L67 L72:L74 L76 L84:L96 L98:L99 L101:L105 L15 L21:L24 L33:L47 L57:L60 L69:L70 L124:L126 L107:L112 L128:L130 L135:L143</xm:sqref>
        </x14:conditionalFormatting>
        <x14:conditionalFormatting xmlns:xm="http://schemas.microsoft.com/office/excel/2006/main">
          <x14:cfRule type="expression" priority="9" id="{3ACA3948-C4EF-4688-9A15-E31E04E09CFB}">
            <xm:f>ISNUMBER(MATCH(M13,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M13:N13</xm:sqref>
        </x14:conditionalFormatting>
        <x14:conditionalFormatting xmlns:xm="http://schemas.microsoft.com/office/excel/2006/main">
          <x14:cfRule type="expression" priority="8" id="{139CA339-5F0E-4520-9512-AD3AAD7CE7B3}">
            <xm:f>ISNUMBER(MATCH(L17,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L17:N17</xm:sqref>
        </x14:conditionalFormatting>
        <x14:conditionalFormatting xmlns:xm="http://schemas.microsoft.com/office/excel/2006/main">
          <x14:cfRule type="expression" priority="7" id="{A65196BB-1B72-4C1E-9ED6-5E27A4924647}">
            <xm:f>ISNUMBER(MATCH(M20,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M20:N20</xm:sqref>
        </x14:conditionalFormatting>
        <x14:conditionalFormatting xmlns:xm="http://schemas.microsoft.com/office/excel/2006/main">
          <x14:cfRule type="expression" priority="6" id="{67326B57-DF52-448F-B6C7-6D7A07694D52}">
            <xm:f>ISNUMBER(MATCH(L25,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L25:N25</xm:sqref>
        </x14:conditionalFormatting>
        <x14:conditionalFormatting xmlns:xm="http://schemas.microsoft.com/office/excel/2006/main">
          <x14:cfRule type="expression" priority="5" id="{0A2229E7-2497-4630-A173-4D69D999210B}">
            <xm:f>ISNUMBER(MATCH(L16,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L16:N16</xm:sqref>
        </x14:conditionalFormatting>
        <x14:conditionalFormatting xmlns:xm="http://schemas.microsoft.com/office/excel/2006/main">
          <x14:cfRule type="expression" priority="4" id="{0FA399B9-1F72-427B-8E6A-E0E2CCC3D00A}">
            <xm:f>ISNUMBER(MATCH(L12,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L12:N12</xm:sqref>
        </x14:conditionalFormatting>
        <x14:conditionalFormatting xmlns:xm="http://schemas.microsoft.com/office/excel/2006/main">
          <x14:cfRule type="expression" priority="2" id="{C3F03EDB-386C-4BC9-8AF8-EC6179AB3DD3}">
            <xm:f>ISNUMBER(MATCH(L132,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L132</xm:sqref>
        </x14:conditionalFormatting>
        <x14:conditionalFormatting xmlns:xm="http://schemas.microsoft.com/office/excel/2006/main">
          <x14:cfRule type="expression" priority="1" id="{BC5916C5-E5B0-4E7A-AA43-09D6D4289F7A}">
            <xm:f>ISNUMBER(MATCH(L114,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L114:L115 L117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F5D216-40C7-46B3-81A6-6A51956ED00D}">
          <x14:formula1>
            <xm:f>Data!$F$122:$F$124</xm:f>
          </x14:formula1>
          <xm:sqref>M2:M34 M36:M143</xm:sqref>
        </x14:dataValidation>
        <x14:dataValidation type="list" allowBlank="1" showInputMessage="1" showErrorMessage="1" xr:uid="{D6F9A19B-15C5-4B59-A570-79070BC083F7}">
          <x14:formula1>
            <xm:f>Data!$B$122:$B$135</xm:f>
          </x14:formula1>
          <xm:sqref>F2:F31 F34:F73 F75:F143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2415C-4972-FC46-A295-9E1A94F1BE26}">
  <dimension ref="A1:N152"/>
  <sheetViews>
    <sheetView zoomScale="70" zoomScaleNormal="70" workbookViewId="0">
      <pane xSplit="6" ySplit="1" topLeftCell="H2" activePane="bottomRight" state="frozen"/>
      <selection pane="bottomRight" activeCell="L3" sqref="L3"/>
      <selection pane="bottomLeft" activeCell="B101" sqref="B101"/>
      <selection pane="topRight"/>
    </sheetView>
  </sheetViews>
  <sheetFormatPr defaultColWidth="11" defaultRowHeight="15.95"/>
  <cols>
    <col min="1" max="1" width="5.875" customWidth="1"/>
    <col min="2" max="2" width="24.5" bestFit="1" customWidth="1"/>
    <col min="3" max="4" width="10.5" customWidth="1"/>
    <col min="5" max="5" width="41" customWidth="1"/>
    <col min="6" max="6" width="21.5" style="19" customWidth="1"/>
    <col min="7" max="7" width="21" style="16" customWidth="1"/>
    <col min="8" max="8" width="20.375" style="16" customWidth="1"/>
    <col min="9" max="9" width="12" style="16" customWidth="1"/>
    <col min="10" max="10" width="29.875" style="19" customWidth="1"/>
    <col min="11" max="11" width="18.5" customWidth="1"/>
    <col min="12" max="12" width="26.375" customWidth="1"/>
    <col min="13" max="13" width="20" customWidth="1"/>
    <col min="14" max="14" width="41.125" bestFit="1" customWidth="1"/>
  </cols>
  <sheetData>
    <row r="1" spans="1:1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8" t="s">
        <v>5</v>
      </c>
      <c r="G1" s="10" t="s">
        <v>6</v>
      </c>
      <c r="H1" s="10" t="s">
        <v>7</v>
      </c>
      <c r="I1" s="10" t="s">
        <v>8</v>
      </c>
      <c r="J1" s="18" t="s">
        <v>9</v>
      </c>
      <c r="K1" s="10" t="s">
        <v>10</v>
      </c>
      <c r="L1" s="10" t="s">
        <v>11</v>
      </c>
      <c r="M1" s="107" t="s">
        <v>12</v>
      </c>
      <c r="N1" s="31"/>
    </row>
    <row r="2" spans="1:14">
      <c r="A2" s="5">
        <v>1</v>
      </c>
      <c r="B2" s="6" t="s">
        <v>13</v>
      </c>
      <c r="C2" s="6" t="s">
        <v>14</v>
      </c>
      <c r="D2" s="6" t="s">
        <v>15</v>
      </c>
      <c r="E2" s="6" t="s">
        <v>16</v>
      </c>
      <c r="F2" s="17" t="s">
        <v>17</v>
      </c>
      <c r="G2" s="15" t="str">
        <f>VLOOKUP(F2,Data!$B$122:$C$135,2,FALSE)</f>
        <v>Acer</v>
      </c>
      <c r="H2" s="15">
        <f>VLOOKUP(F2,Data!$B$122:$D$135,3,FALSE)</f>
        <v>2021</v>
      </c>
      <c r="I2" s="15">
        <f ca="1">YEAR(TODAY()) - H2</f>
        <v>5</v>
      </c>
      <c r="J2" s="17" t="s">
        <v>18</v>
      </c>
      <c r="K2" s="11" t="s">
        <v>19</v>
      </c>
      <c r="L2" s="11" t="s">
        <v>13</v>
      </c>
      <c r="M2" s="108"/>
      <c r="N2" s="31"/>
    </row>
    <row r="3" spans="1:14">
      <c r="A3" s="5"/>
      <c r="B3" s="6"/>
      <c r="C3" s="6"/>
      <c r="D3" s="6" t="s">
        <v>15</v>
      </c>
      <c r="E3" s="6"/>
      <c r="F3" s="17" t="s">
        <v>20</v>
      </c>
      <c r="G3" s="15" t="str">
        <f>VLOOKUP(F3,Data!$B$122:$C$135,2,FALSE)</f>
        <v>Apple</v>
      </c>
      <c r="H3" s="15">
        <f>VLOOKUP(F3,Data!$B$122:$D$135,3,FALSE)</f>
        <v>2023</v>
      </c>
      <c r="I3" s="15">
        <f t="shared" ref="I3:I32" ca="1" si="0">YEAR(TODAY()) - H3</f>
        <v>3</v>
      </c>
      <c r="J3" s="17"/>
      <c r="K3" s="11" t="s">
        <v>19</v>
      </c>
      <c r="L3" s="11" t="s">
        <v>13</v>
      </c>
      <c r="M3" s="108"/>
      <c r="N3" s="31"/>
    </row>
    <row r="4" spans="1:14">
      <c r="A4" s="5">
        <v>2</v>
      </c>
      <c r="B4" s="6" t="s">
        <v>21</v>
      </c>
      <c r="C4" s="6" t="s">
        <v>22</v>
      </c>
      <c r="D4" s="6" t="s">
        <v>15</v>
      </c>
      <c r="E4" s="6" t="s">
        <v>23</v>
      </c>
      <c r="F4" s="17" t="s">
        <v>176</v>
      </c>
      <c r="G4" s="15" t="str">
        <f>VLOOKUP(F4,Data!$B$122:$C$135,2,FALSE)</f>
        <v>Apple</v>
      </c>
      <c r="H4" s="15">
        <f>VLOOKUP(F4,Data!$B$122:$D$135,3,FALSE)</f>
        <v>2022</v>
      </c>
      <c r="I4" s="15">
        <f t="shared" ca="1" si="0"/>
        <v>4</v>
      </c>
      <c r="J4" s="17" t="s">
        <v>388</v>
      </c>
      <c r="K4" s="11" t="s">
        <v>19</v>
      </c>
      <c r="L4" s="11" t="s">
        <v>21</v>
      </c>
      <c r="M4" s="108"/>
      <c r="N4" s="31"/>
    </row>
    <row r="5" spans="1:14">
      <c r="A5" s="5"/>
      <c r="B5" s="6"/>
      <c r="C5" s="6"/>
      <c r="D5" s="6" t="s">
        <v>15</v>
      </c>
      <c r="E5" s="6"/>
      <c r="F5" s="17" t="s">
        <v>20</v>
      </c>
      <c r="G5" s="15" t="str">
        <f>VLOOKUP(F5,Data!$B$122:$C$135,2,FALSE)</f>
        <v>Apple</v>
      </c>
      <c r="H5" s="15">
        <f>VLOOKUP(F5,Data!$B$122:$D$135,3,FALSE)</f>
        <v>2023</v>
      </c>
      <c r="I5" s="15">
        <f t="shared" ca="1" si="0"/>
        <v>3</v>
      </c>
      <c r="J5" s="17" t="s">
        <v>24</v>
      </c>
      <c r="K5" s="11" t="s">
        <v>19</v>
      </c>
      <c r="L5" s="11" t="s">
        <v>21</v>
      </c>
      <c r="M5" s="108"/>
      <c r="N5" s="31"/>
    </row>
    <row r="6" spans="1:14">
      <c r="A6" s="5"/>
      <c r="B6" s="6"/>
      <c r="C6" s="6"/>
      <c r="D6" s="6" t="s">
        <v>15</v>
      </c>
      <c r="E6" s="6"/>
      <c r="F6" s="17" t="s">
        <v>25</v>
      </c>
      <c r="G6" s="15" t="str">
        <f>VLOOKUP(F6,Data!$B$122:$C$135,2,FALSE)</f>
        <v>Asus</v>
      </c>
      <c r="H6" s="15">
        <f>VLOOKUP(F6,Data!$B$122:$D$135,3,FALSE)</f>
        <v>2020</v>
      </c>
      <c r="I6" s="15">
        <f t="shared" ca="1" si="0"/>
        <v>6</v>
      </c>
      <c r="J6" s="17" t="s">
        <v>26</v>
      </c>
      <c r="K6" s="11" t="s">
        <v>19</v>
      </c>
      <c r="L6" s="11" t="s">
        <v>21</v>
      </c>
      <c r="M6" s="108" t="s">
        <v>70</v>
      </c>
      <c r="N6" s="31" t="s">
        <v>27</v>
      </c>
    </row>
    <row r="7" spans="1:14">
      <c r="A7" s="5"/>
      <c r="B7" s="6"/>
      <c r="C7" s="6"/>
      <c r="D7" s="6" t="s">
        <v>15</v>
      </c>
      <c r="E7" s="6"/>
      <c r="F7" s="17" t="s">
        <v>17</v>
      </c>
      <c r="G7" s="15" t="str">
        <f>VLOOKUP(F7,Data!$B$122:$C$135,2,FALSE)</f>
        <v>Acer</v>
      </c>
      <c r="H7" s="15">
        <f>VLOOKUP(F7,Data!$B$122:$D$135,3,FALSE)</f>
        <v>2021</v>
      </c>
      <c r="I7" s="15">
        <f t="shared" ca="1" si="0"/>
        <v>5</v>
      </c>
      <c r="J7" s="17" t="s">
        <v>26</v>
      </c>
      <c r="K7" s="11" t="s">
        <v>19</v>
      </c>
      <c r="L7" s="11"/>
      <c r="M7" s="108"/>
      <c r="N7" s="31" t="s">
        <v>28</v>
      </c>
    </row>
    <row r="8" spans="1:14">
      <c r="A8" s="5">
        <v>3</v>
      </c>
      <c r="B8" s="6" t="s">
        <v>29</v>
      </c>
      <c r="C8" s="6" t="s">
        <v>30</v>
      </c>
      <c r="D8" s="6" t="s">
        <v>15</v>
      </c>
      <c r="E8" s="6" t="s">
        <v>31</v>
      </c>
      <c r="F8" s="17" t="s">
        <v>32</v>
      </c>
      <c r="G8" s="15" t="str">
        <f>VLOOKUP(F8,Data!$B$122:$C$135,2,FALSE)</f>
        <v>Acer</v>
      </c>
      <c r="H8" s="15">
        <f>VLOOKUP(F8,Data!$B$122:$D$135,3,FALSE)</f>
        <v>2024</v>
      </c>
      <c r="I8" s="15">
        <f t="shared" ca="1" si="0"/>
        <v>2</v>
      </c>
      <c r="J8" s="17" t="s">
        <v>33</v>
      </c>
      <c r="K8" s="11" t="s">
        <v>19</v>
      </c>
      <c r="L8" s="11" t="s">
        <v>34</v>
      </c>
      <c r="M8" s="108"/>
      <c r="N8" s="31"/>
    </row>
    <row r="9" spans="1:14">
      <c r="A9" s="5"/>
      <c r="B9" s="6"/>
      <c r="C9" s="6"/>
      <c r="D9" s="6" t="s">
        <v>15</v>
      </c>
      <c r="E9" s="6"/>
      <c r="F9" s="17" t="s">
        <v>20</v>
      </c>
      <c r="G9" s="15" t="str">
        <f>VLOOKUP(F9,Data!$B$122:$C$135,2,FALSE)</f>
        <v>Apple</v>
      </c>
      <c r="H9" s="15">
        <f>VLOOKUP(F9,Data!$B$122:$D$135,3,FALSE)</f>
        <v>2023</v>
      </c>
      <c r="I9" s="15">
        <f t="shared" ca="1" si="0"/>
        <v>3</v>
      </c>
      <c r="J9" s="17" t="s">
        <v>35</v>
      </c>
      <c r="K9" s="11" t="s">
        <v>19</v>
      </c>
      <c r="L9" s="11" t="s">
        <v>29</v>
      </c>
      <c r="M9" s="108"/>
      <c r="N9" s="31"/>
    </row>
    <row r="10" spans="1:14">
      <c r="A10" s="5">
        <v>4</v>
      </c>
      <c r="B10" s="6" t="s">
        <v>36</v>
      </c>
      <c r="C10" s="6" t="s">
        <v>37</v>
      </c>
      <c r="D10" s="6" t="s">
        <v>15</v>
      </c>
      <c r="E10" s="6" t="s">
        <v>38</v>
      </c>
      <c r="F10" s="17" t="s">
        <v>39</v>
      </c>
      <c r="G10" s="15" t="str">
        <f>VLOOKUP(F10,Data!$B$122:$C$135,2,FALSE)</f>
        <v>Apple</v>
      </c>
      <c r="H10" s="15">
        <f>VLOOKUP(F10,Data!$B$122:$D$135,3,FALSE)</f>
        <v>2023</v>
      </c>
      <c r="I10" s="15">
        <f t="shared" ca="1" si="0"/>
        <v>3</v>
      </c>
      <c r="J10" s="17" t="s">
        <v>40</v>
      </c>
      <c r="K10" s="11" t="s">
        <v>19</v>
      </c>
      <c r="L10" s="11" t="s">
        <v>36</v>
      </c>
      <c r="M10" s="108"/>
      <c r="N10" s="31"/>
    </row>
    <row r="11" spans="1:14">
      <c r="A11" s="5"/>
      <c r="B11" s="6"/>
      <c r="C11" s="6"/>
      <c r="D11" s="6" t="s">
        <v>15</v>
      </c>
      <c r="E11" s="6"/>
      <c r="F11" s="17" t="s">
        <v>17</v>
      </c>
      <c r="G11" s="15" t="str">
        <f>VLOOKUP(F11,Data!$B$122:$C$135,2,FALSE)</f>
        <v>Acer</v>
      </c>
      <c r="H11" s="15">
        <f>VLOOKUP(F11,Data!$B$122:$D$135,3,FALSE)</f>
        <v>2021</v>
      </c>
      <c r="I11" s="15">
        <f t="shared" ca="1" si="0"/>
        <v>5</v>
      </c>
      <c r="J11" s="17" t="s">
        <v>41</v>
      </c>
      <c r="K11" s="11" t="s">
        <v>19</v>
      </c>
      <c r="L11" s="11" t="s">
        <v>42</v>
      </c>
      <c r="M11" s="108"/>
      <c r="N11" s="31"/>
    </row>
    <row r="12" spans="1:14">
      <c r="A12" s="5"/>
      <c r="B12" s="6"/>
      <c r="C12" s="6"/>
      <c r="D12" s="6" t="s">
        <v>15</v>
      </c>
      <c r="E12" s="6"/>
      <c r="F12" s="17" t="s">
        <v>17</v>
      </c>
      <c r="G12" s="15" t="str">
        <f>VLOOKUP(F12,Data!$B$122:$C$135,2,FALSE)</f>
        <v>Acer</v>
      </c>
      <c r="H12" s="15">
        <f>VLOOKUP(F12,Data!$B$122:$D$135,3,FALSE)</f>
        <v>2021</v>
      </c>
      <c r="I12" s="15">
        <f t="shared" ca="1" si="0"/>
        <v>5</v>
      </c>
      <c r="J12" s="19" t="s">
        <v>43</v>
      </c>
      <c r="K12" s="11" t="s">
        <v>19</v>
      </c>
      <c r="L12" s="11" t="s">
        <v>36</v>
      </c>
      <c r="M12" s="108" t="s">
        <v>119</v>
      </c>
      <c r="N12" s="31"/>
    </row>
    <row r="13" spans="1:14">
      <c r="A13" s="5"/>
      <c r="B13" s="6"/>
      <c r="C13" s="6"/>
      <c r="D13" s="6" t="s">
        <v>15</v>
      </c>
      <c r="E13" s="6"/>
      <c r="F13" s="17" t="s">
        <v>17</v>
      </c>
      <c r="G13" s="15" t="str">
        <f>VLOOKUP(F13,Data!$B$122:$C$135,2,FALSE)</f>
        <v>Acer</v>
      </c>
      <c r="H13" s="15">
        <f>VLOOKUP(F13,Data!$B$122:$D$135,3,FALSE)</f>
        <v>2021</v>
      </c>
      <c r="I13" s="15">
        <f t="shared" ca="1" si="0"/>
        <v>5</v>
      </c>
      <c r="J13" s="17" t="s">
        <v>45</v>
      </c>
      <c r="K13" s="11" t="s">
        <v>19</v>
      </c>
      <c r="L13" s="11"/>
      <c r="M13" s="108"/>
      <c r="N13" s="31" t="s">
        <v>46</v>
      </c>
    </row>
    <row r="14" spans="1:14">
      <c r="A14" s="5"/>
      <c r="B14" s="6"/>
      <c r="C14" s="6"/>
      <c r="D14" s="6" t="s">
        <v>15</v>
      </c>
      <c r="E14" s="6"/>
      <c r="F14" s="17" t="s">
        <v>17</v>
      </c>
      <c r="G14" s="15" t="str">
        <f>VLOOKUP(F14,Data!$B$122:$C$135,2,FALSE)</f>
        <v>Acer</v>
      </c>
      <c r="H14" s="15">
        <f>VLOOKUP(F14,Data!$B$122:$D$135,3,FALSE)</f>
        <v>2021</v>
      </c>
      <c r="I14" s="15">
        <f t="shared" ref="I14" ca="1" si="1">YEAR(TODAY()) - H14</f>
        <v>5</v>
      </c>
      <c r="J14" s="17" t="s">
        <v>47</v>
      </c>
      <c r="K14" s="11" t="s">
        <v>19</v>
      </c>
      <c r="L14" s="11" t="s">
        <v>48</v>
      </c>
      <c r="M14" s="108"/>
      <c r="N14" s="31"/>
    </row>
    <row r="15" spans="1:14">
      <c r="A15" s="5"/>
      <c r="B15" s="6"/>
      <c r="C15" s="6"/>
      <c r="D15" s="6" t="s">
        <v>15</v>
      </c>
      <c r="E15" s="6"/>
      <c r="F15" s="17" t="s">
        <v>176</v>
      </c>
      <c r="G15" s="15" t="str">
        <f>VLOOKUP(F15,Data!$B$122:$C$135,2,FALSE)</f>
        <v>Apple</v>
      </c>
      <c r="H15" s="15">
        <f>VLOOKUP(F15,Data!$B$122:$D$135,3,FALSE)</f>
        <v>2022</v>
      </c>
      <c r="I15" s="15">
        <f t="shared" ca="1" si="0"/>
        <v>4</v>
      </c>
      <c r="J15" s="17" t="s">
        <v>389</v>
      </c>
      <c r="K15" s="11" t="s">
        <v>19</v>
      </c>
      <c r="L15" s="11" t="s">
        <v>86</v>
      </c>
      <c r="M15" s="108" t="s">
        <v>111</v>
      </c>
      <c r="N15" s="31"/>
    </row>
    <row r="16" spans="1:14">
      <c r="A16" s="5"/>
      <c r="B16" s="6"/>
      <c r="C16" s="6"/>
      <c r="D16" s="6" t="s">
        <v>15</v>
      </c>
      <c r="E16" s="6"/>
      <c r="F16" s="17" t="s">
        <v>25</v>
      </c>
      <c r="G16" s="15" t="str">
        <f>VLOOKUP(F16,Data!$B$122:$C$135,2,FALSE)</f>
        <v>Asus</v>
      </c>
      <c r="H16" s="15">
        <f>VLOOKUP(F16,Data!$B$122:$D$135,3,FALSE)</f>
        <v>2020</v>
      </c>
      <c r="I16" s="15">
        <f t="shared" ca="1" si="0"/>
        <v>6</v>
      </c>
      <c r="J16" s="17" t="s">
        <v>49</v>
      </c>
      <c r="K16" s="11" t="s">
        <v>19</v>
      </c>
      <c r="L16" s="11" t="s">
        <v>50</v>
      </c>
      <c r="M16" s="108"/>
      <c r="N16" s="31"/>
    </row>
    <row r="17" spans="1:14">
      <c r="A17" s="5">
        <v>5</v>
      </c>
      <c r="B17" s="6" t="s">
        <v>51</v>
      </c>
      <c r="C17" s="6" t="s">
        <v>52</v>
      </c>
      <c r="D17" s="6" t="s">
        <v>15</v>
      </c>
      <c r="E17" s="6" t="s">
        <v>53</v>
      </c>
      <c r="F17" s="17" t="s">
        <v>32</v>
      </c>
      <c r="G17" s="15" t="str">
        <f>VLOOKUP(F17,Data!$B$122:$C$135,2,FALSE)</f>
        <v>Acer</v>
      </c>
      <c r="H17" s="15">
        <f>VLOOKUP(F17,Data!$B$122:$D$135,3,FALSE)</f>
        <v>2024</v>
      </c>
      <c r="I17" s="15">
        <f t="shared" ca="1" si="0"/>
        <v>2</v>
      </c>
      <c r="J17" s="17" t="s">
        <v>54</v>
      </c>
      <c r="K17" s="11" t="s">
        <v>19</v>
      </c>
      <c r="L17" s="11" t="s">
        <v>51</v>
      </c>
      <c r="M17" s="108"/>
      <c r="N17" s="31"/>
    </row>
    <row r="18" spans="1:14">
      <c r="A18" s="5"/>
      <c r="B18" s="6"/>
      <c r="C18" s="6"/>
      <c r="D18" s="6" t="s">
        <v>15</v>
      </c>
      <c r="E18" s="6"/>
      <c r="F18" s="17" t="s">
        <v>17</v>
      </c>
      <c r="G18" s="15" t="str">
        <f>VLOOKUP(F18,Data!$B$122:$C$135,2,FALSE)</f>
        <v>Acer</v>
      </c>
      <c r="H18" s="15">
        <f>VLOOKUP(F18,Data!$B$122:$D$135,3,FALSE)</f>
        <v>2021</v>
      </c>
      <c r="I18" s="15">
        <f t="shared" ca="1" si="0"/>
        <v>5</v>
      </c>
      <c r="K18" s="11" t="s">
        <v>19</v>
      </c>
      <c r="L18" s="11"/>
      <c r="M18" s="108"/>
      <c r="N18" s="31" t="s">
        <v>55</v>
      </c>
    </row>
    <row r="19" spans="1:14">
      <c r="A19" s="5"/>
      <c r="B19" s="6"/>
      <c r="C19" s="6"/>
      <c r="D19" s="6" t="s">
        <v>15</v>
      </c>
      <c r="E19" s="6"/>
      <c r="F19" s="17" t="s">
        <v>25</v>
      </c>
      <c r="G19" s="15" t="str">
        <f>VLOOKUP(F19,Data!$B$122:$C$135,2,FALSE)</f>
        <v>Asus</v>
      </c>
      <c r="H19" s="15">
        <f>VLOOKUP(F19,Data!$B$122:$D$135,3,FALSE)</f>
        <v>2020</v>
      </c>
      <c r="I19" s="15">
        <f t="shared" ca="1" si="0"/>
        <v>6</v>
      </c>
      <c r="J19" s="17" t="s">
        <v>56</v>
      </c>
      <c r="K19" s="11" t="s">
        <v>19</v>
      </c>
      <c r="L19" s="11"/>
      <c r="M19" s="108"/>
      <c r="N19" s="31" t="s">
        <v>57</v>
      </c>
    </row>
    <row r="20" spans="1:14">
      <c r="A20" s="5">
        <v>6</v>
      </c>
      <c r="B20" s="6" t="s">
        <v>58</v>
      </c>
      <c r="C20" s="6" t="s">
        <v>59</v>
      </c>
      <c r="D20" s="6" t="s">
        <v>15</v>
      </c>
      <c r="E20" s="6" t="s">
        <v>53</v>
      </c>
      <c r="F20" s="17" t="s">
        <v>32</v>
      </c>
      <c r="G20" s="15" t="str">
        <f>VLOOKUP(F20,Data!$B$122:$C$135,2,FALSE)</f>
        <v>Acer</v>
      </c>
      <c r="H20" s="15">
        <f>VLOOKUP(F20,Data!$B$122:$D$135,3,FALSE)</f>
        <v>2024</v>
      </c>
      <c r="I20" s="15">
        <f t="shared" ca="1" si="0"/>
        <v>2</v>
      </c>
      <c r="J20" s="17" t="s">
        <v>60</v>
      </c>
      <c r="K20" s="11" t="s">
        <v>19</v>
      </c>
      <c r="L20" s="11" t="s">
        <v>58</v>
      </c>
      <c r="M20" s="108"/>
      <c r="N20" s="31"/>
    </row>
    <row r="21" spans="1:14">
      <c r="A21" s="5">
        <v>7</v>
      </c>
      <c r="B21" s="6" t="s">
        <v>61</v>
      </c>
      <c r="C21" s="6" t="s">
        <v>62</v>
      </c>
      <c r="D21" s="6" t="s">
        <v>15</v>
      </c>
      <c r="E21" s="6" t="s">
        <v>63</v>
      </c>
      <c r="F21" s="17" t="s">
        <v>32</v>
      </c>
      <c r="G21" s="15" t="str">
        <f>VLOOKUP(F21,Data!$B$122:$C$135,2,FALSE)</f>
        <v>Acer</v>
      </c>
      <c r="H21" s="15">
        <f>VLOOKUP(F21,Data!$B$122:$D$135,3,FALSE)</f>
        <v>2024</v>
      </c>
      <c r="I21" s="15">
        <f t="shared" ca="1" si="0"/>
        <v>2</v>
      </c>
      <c r="J21" s="17" t="s">
        <v>64</v>
      </c>
      <c r="K21" s="11" t="s">
        <v>19</v>
      </c>
      <c r="L21" s="11" t="s">
        <v>61</v>
      </c>
      <c r="M21" s="108"/>
      <c r="N21" s="31"/>
    </row>
    <row r="22" spans="1:14">
      <c r="A22" s="5"/>
      <c r="B22" s="6"/>
      <c r="C22" s="6"/>
      <c r="D22" s="6" t="s">
        <v>15</v>
      </c>
      <c r="E22" s="6"/>
      <c r="F22" s="17" t="s">
        <v>32</v>
      </c>
      <c r="G22" s="15" t="str">
        <f>VLOOKUP(F22,Data!$B$122:$C$135,2,FALSE)</f>
        <v>Acer</v>
      </c>
      <c r="H22" s="15">
        <f>VLOOKUP(F22,Data!$B$122:$D$135,3,FALSE)</f>
        <v>2024</v>
      </c>
      <c r="I22" s="15">
        <f t="shared" ca="1" si="0"/>
        <v>2</v>
      </c>
      <c r="J22" s="17" t="s">
        <v>65</v>
      </c>
      <c r="K22" s="11" t="s">
        <v>19</v>
      </c>
      <c r="L22" s="11" t="s">
        <v>66</v>
      </c>
      <c r="M22" s="108"/>
      <c r="N22" s="31"/>
    </row>
    <row r="23" spans="1:14">
      <c r="A23" s="5">
        <v>8</v>
      </c>
      <c r="B23" s="6" t="s">
        <v>67</v>
      </c>
      <c r="C23" s="6" t="s">
        <v>68</v>
      </c>
      <c r="D23" s="6" t="s">
        <v>15</v>
      </c>
      <c r="E23" s="6" t="s">
        <v>63</v>
      </c>
      <c r="F23" s="17" t="s">
        <v>32</v>
      </c>
      <c r="G23" s="15" t="str">
        <f>VLOOKUP(F23,Data!$B$122:$C$135,2,FALSE)</f>
        <v>Acer</v>
      </c>
      <c r="H23" s="15">
        <f>VLOOKUP(F23,Data!$B$122:$D$135,3,FALSE)</f>
        <v>2024</v>
      </c>
      <c r="I23" s="15">
        <f t="shared" ca="1" si="0"/>
        <v>2</v>
      </c>
      <c r="J23" s="17" t="s">
        <v>69</v>
      </c>
      <c r="K23" s="11" t="s">
        <v>19</v>
      </c>
      <c r="L23" s="11" t="s">
        <v>67</v>
      </c>
      <c r="M23" s="108"/>
      <c r="N23" s="31"/>
    </row>
    <row r="24" spans="1:14">
      <c r="A24" s="5"/>
      <c r="B24" s="6"/>
      <c r="C24" s="6"/>
      <c r="D24" s="6" t="s">
        <v>15</v>
      </c>
      <c r="E24" s="6"/>
      <c r="F24" s="17" t="s">
        <v>20</v>
      </c>
      <c r="G24" s="15" t="str">
        <f>VLOOKUP(F24,Data!$B$122:$C$135,2,FALSE)</f>
        <v>Apple</v>
      </c>
      <c r="H24" s="15">
        <f>VLOOKUP(F24,Data!$B$122:$D$135,3,FALSE)</f>
        <v>2023</v>
      </c>
      <c r="I24" s="15">
        <f t="shared" ca="1" si="0"/>
        <v>3</v>
      </c>
      <c r="J24" s="17"/>
      <c r="K24" s="11" t="s">
        <v>19</v>
      </c>
      <c r="L24" s="11" t="s">
        <v>67</v>
      </c>
      <c r="M24" s="108"/>
      <c r="N24" s="31"/>
    </row>
    <row r="25" spans="1:14">
      <c r="A25" s="5">
        <v>9</v>
      </c>
      <c r="B25" s="6" t="s">
        <v>72</v>
      </c>
      <c r="C25" s="6" t="s">
        <v>73</v>
      </c>
      <c r="D25" s="6" t="s">
        <v>15</v>
      </c>
      <c r="E25" s="6" t="s">
        <v>63</v>
      </c>
      <c r="F25" s="17" t="s">
        <v>20</v>
      </c>
      <c r="G25" s="15" t="str">
        <f>VLOOKUP(F25,Data!$B$122:$C$135,2,FALSE)</f>
        <v>Apple</v>
      </c>
      <c r="H25" s="15">
        <f>VLOOKUP(F25,Data!$B$122:$D$135,3,FALSE)</f>
        <v>2023</v>
      </c>
      <c r="I25" s="15">
        <f t="shared" ca="1" si="0"/>
        <v>3</v>
      </c>
      <c r="J25" s="17" t="s">
        <v>74</v>
      </c>
      <c r="K25" s="11" t="s">
        <v>19</v>
      </c>
      <c r="L25" s="11" t="s">
        <v>72</v>
      </c>
      <c r="M25" s="108"/>
      <c r="N25" s="31"/>
    </row>
    <row r="26" spans="1:14">
      <c r="A26" s="5">
        <v>10</v>
      </c>
      <c r="B26" s="6" t="s">
        <v>75</v>
      </c>
      <c r="C26" s="6" t="s">
        <v>76</v>
      </c>
      <c r="D26" s="6" t="s">
        <v>15</v>
      </c>
      <c r="E26" s="6" t="s">
        <v>63</v>
      </c>
      <c r="F26" s="17" t="s">
        <v>20</v>
      </c>
      <c r="G26" s="15" t="str">
        <f>VLOOKUP(F26,Data!$B$122:$C$135,2,FALSE)</f>
        <v>Apple</v>
      </c>
      <c r="H26" s="15">
        <f>VLOOKUP(F26,Data!$B$122:$D$135,3,FALSE)</f>
        <v>2023</v>
      </c>
      <c r="I26" s="15">
        <f t="shared" ca="1" si="0"/>
        <v>3</v>
      </c>
      <c r="J26" s="17" t="s">
        <v>77</v>
      </c>
      <c r="K26" s="11" t="s">
        <v>19</v>
      </c>
      <c r="L26" s="11" t="s">
        <v>75</v>
      </c>
      <c r="M26" s="108"/>
      <c r="N26" s="31"/>
    </row>
    <row r="27" spans="1:14">
      <c r="A27" s="5"/>
      <c r="B27" s="6"/>
      <c r="C27" s="6"/>
      <c r="D27" s="6" t="s">
        <v>15</v>
      </c>
      <c r="E27" s="6"/>
      <c r="F27" s="17" t="s">
        <v>78</v>
      </c>
      <c r="G27" s="15" t="str">
        <f>VLOOKUP(F27,Data!$B$122:$C$135,2,FALSE)</f>
        <v>Apple</v>
      </c>
      <c r="H27" s="15">
        <f>VLOOKUP(F27,Data!$B$122:$D$135,3,FALSE)</f>
        <v>2022</v>
      </c>
      <c r="I27" s="15">
        <f t="shared" ca="1" si="0"/>
        <v>4</v>
      </c>
      <c r="J27" s="17"/>
      <c r="K27" s="11" t="s">
        <v>19</v>
      </c>
      <c r="L27" s="11"/>
      <c r="M27" s="108"/>
      <c r="N27" s="31" t="s">
        <v>79</v>
      </c>
    </row>
    <row r="28" spans="1:14">
      <c r="A28" s="5">
        <v>11</v>
      </c>
      <c r="B28" s="6" t="s">
        <v>80</v>
      </c>
      <c r="C28" s="6" t="s">
        <v>81</v>
      </c>
      <c r="D28" s="6" t="s">
        <v>15</v>
      </c>
      <c r="E28" s="6" t="s">
        <v>63</v>
      </c>
      <c r="F28" s="17" t="s">
        <v>32</v>
      </c>
      <c r="G28" s="15" t="str">
        <f>VLOOKUP(F28,Data!$B$122:$C$135,2,FALSE)</f>
        <v>Acer</v>
      </c>
      <c r="H28" s="15">
        <f>VLOOKUP(F28,Data!$B$122:$D$135,3,FALSE)</f>
        <v>2024</v>
      </c>
      <c r="I28" s="15">
        <f t="shared" ca="1" si="0"/>
        <v>2</v>
      </c>
      <c r="J28" s="17" t="s">
        <v>82</v>
      </c>
      <c r="K28" s="11" t="s">
        <v>19</v>
      </c>
      <c r="L28" s="11" t="s">
        <v>80</v>
      </c>
      <c r="M28" s="108"/>
      <c r="N28" s="31"/>
    </row>
    <row r="29" spans="1:14">
      <c r="A29" s="5">
        <v>12</v>
      </c>
      <c r="B29" s="6" t="s">
        <v>83</v>
      </c>
      <c r="C29" s="6" t="s">
        <v>84</v>
      </c>
      <c r="D29" s="6" t="s">
        <v>15</v>
      </c>
      <c r="E29" s="6" t="s">
        <v>85</v>
      </c>
      <c r="F29" s="17" t="s">
        <v>32</v>
      </c>
      <c r="G29" s="15" t="str">
        <f>VLOOKUP(F29,Data!$B$122:$C$135,2,FALSE)</f>
        <v>Acer</v>
      </c>
      <c r="H29" s="15">
        <f>VLOOKUP(F29,Data!$B$122:$D$135,3,FALSE)</f>
        <v>2024</v>
      </c>
      <c r="I29" s="15">
        <f t="shared" ref="I29" ca="1" si="2">YEAR(TODAY()) - H29</f>
        <v>2</v>
      </c>
      <c r="J29" s="17"/>
      <c r="K29" s="11"/>
      <c r="L29" s="11" t="s">
        <v>83</v>
      </c>
      <c r="M29" s="108"/>
      <c r="N29" s="31"/>
    </row>
    <row r="30" spans="1:14">
      <c r="A30" s="5">
        <v>12</v>
      </c>
      <c r="B30" s="6" t="s">
        <v>86</v>
      </c>
      <c r="C30" s="6" t="s">
        <v>87</v>
      </c>
      <c r="D30" s="6" t="s">
        <v>15</v>
      </c>
      <c r="E30" s="6" t="s">
        <v>85</v>
      </c>
      <c r="F30" s="17" t="s">
        <v>17</v>
      </c>
      <c r="G30" s="15" t="str">
        <f>VLOOKUP(F30,Data!$B$122:$C$135,2,FALSE)</f>
        <v>Acer</v>
      </c>
      <c r="H30" s="15">
        <f>VLOOKUP(F30,Data!$B$122:$D$135,3,FALSE)</f>
        <v>2021</v>
      </c>
      <c r="I30" s="15">
        <f t="shared" ca="1" si="0"/>
        <v>5</v>
      </c>
      <c r="J30" s="17" t="s">
        <v>88</v>
      </c>
      <c r="K30" s="11" t="s">
        <v>19</v>
      </c>
      <c r="L30" s="11" t="s">
        <v>86</v>
      </c>
      <c r="M30" s="108"/>
      <c r="N30" s="31"/>
    </row>
    <row r="31" spans="1:14">
      <c r="A31" s="5">
        <v>13</v>
      </c>
      <c r="B31" s="6" t="s">
        <v>90</v>
      </c>
      <c r="C31" s="6" t="s">
        <v>91</v>
      </c>
      <c r="D31" s="6" t="s">
        <v>15</v>
      </c>
      <c r="E31" s="6" t="s">
        <v>85</v>
      </c>
      <c r="F31" s="17" t="s">
        <v>17</v>
      </c>
      <c r="G31" s="15" t="str">
        <f>VLOOKUP(F31,Data!$B$122:$C$135,2,FALSE)</f>
        <v>Acer</v>
      </c>
      <c r="H31" s="15">
        <f>VLOOKUP(F31,Data!$B$122:$D$135,3,FALSE)</f>
        <v>2021</v>
      </c>
      <c r="I31" s="15">
        <f t="shared" ca="1" si="0"/>
        <v>5</v>
      </c>
      <c r="J31" s="17" t="s">
        <v>92</v>
      </c>
      <c r="K31" s="11" t="s">
        <v>19</v>
      </c>
      <c r="L31" s="11" t="s">
        <v>90</v>
      </c>
      <c r="M31" s="108"/>
      <c r="N31" s="31"/>
    </row>
    <row r="32" spans="1:14">
      <c r="A32" s="5">
        <v>14</v>
      </c>
      <c r="B32" s="6" t="s">
        <v>93</v>
      </c>
      <c r="C32" s="6" t="s">
        <v>94</v>
      </c>
      <c r="D32" s="6" t="s">
        <v>15</v>
      </c>
      <c r="E32" s="6" t="s">
        <v>95</v>
      </c>
      <c r="F32" s="17" t="s">
        <v>32</v>
      </c>
      <c r="G32" s="15" t="str">
        <f>VLOOKUP(F32,Data!$B$122:$C$135,2,FALSE)</f>
        <v>Acer</v>
      </c>
      <c r="H32" s="15">
        <f>VLOOKUP(F32,Data!$B$122:$D$135,3,FALSE)</f>
        <v>2024</v>
      </c>
      <c r="I32" s="15">
        <f t="shared" ca="1" si="0"/>
        <v>2</v>
      </c>
      <c r="J32" s="17" t="s">
        <v>96</v>
      </c>
      <c r="K32" s="11" t="s">
        <v>19</v>
      </c>
      <c r="L32" s="11" t="s">
        <v>93</v>
      </c>
      <c r="M32" s="108"/>
      <c r="N32" s="31"/>
    </row>
    <row r="33" spans="1:14">
      <c r="A33" s="5">
        <v>17</v>
      </c>
      <c r="B33" s="6" t="s">
        <v>97</v>
      </c>
      <c r="C33" s="6" t="s">
        <v>98</v>
      </c>
      <c r="D33" s="6" t="s">
        <v>99</v>
      </c>
      <c r="E33" s="6" t="s">
        <v>100</v>
      </c>
      <c r="F33" s="21" t="s">
        <v>39</v>
      </c>
      <c r="G33" s="15" t="str">
        <f>VLOOKUP(F33,Data!$B$122:$C$135,2,FALSE)</f>
        <v>Apple</v>
      </c>
      <c r="H33" s="15">
        <f>VLOOKUP(F33,Data!$B$122:$D$135,3,FALSE)</f>
        <v>2023</v>
      </c>
      <c r="I33" s="15">
        <v>1</v>
      </c>
      <c r="J33" s="17" t="s">
        <v>101</v>
      </c>
      <c r="K33" s="11" t="s">
        <v>19</v>
      </c>
      <c r="L33" s="11" t="s">
        <v>102</v>
      </c>
      <c r="M33" s="108"/>
      <c r="N33" s="31"/>
    </row>
    <row r="34" spans="1:14">
      <c r="A34" s="5"/>
      <c r="B34" s="6"/>
      <c r="C34" s="6"/>
      <c r="D34" s="6" t="s">
        <v>99</v>
      </c>
      <c r="E34" s="6"/>
      <c r="F34" s="20" t="s">
        <v>32</v>
      </c>
      <c r="G34" s="15" t="str">
        <f>VLOOKUP(F34,Data!$B$122:$C$135,2,FALSE)</f>
        <v>Acer</v>
      </c>
      <c r="H34" s="15">
        <f>VLOOKUP(F34,Data!$B$122:$D$135,3,FALSE)</f>
        <v>2024</v>
      </c>
      <c r="I34" s="15">
        <f t="shared" ref="I34:I52" ca="1" si="3">YEAR(TODAY()) - H34</f>
        <v>2</v>
      </c>
      <c r="J34" s="17" t="s">
        <v>103</v>
      </c>
      <c r="K34" s="11" t="s">
        <v>19</v>
      </c>
      <c r="L34" s="11"/>
      <c r="M34" s="108"/>
      <c r="N34" s="31" t="s">
        <v>104</v>
      </c>
    </row>
    <row r="35" spans="1:14">
      <c r="A35" s="5">
        <v>18</v>
      </c>
      <c r="B35" s="6" t="s">
        <v>113</v>
      </c>
      <c r="C35" s="6" t="s">
        <v>114</v>
      </c>
      <c r="D35" s="6" t="s">
        <v>99</v>
      </c>
      <c r="E35" s="6" t="s">
        <v>115</v>
      </c>
      <c r="F35" s="17" t="s">
        <v>20</v>
      </c>
      <c r="G35" s="15" t="str">
        <f>VLOOKUP(F35,Data!$B$122:$C$135,2,FALSE)</f>
        <v>Apple</v>
      </c>
      <c r="H35" s="15">
        <f>VLOOKUP(F35,Data!$B$122:$D$135,3,FALSE)</f>
        <v>2023</v>
      </c>
      <c r="I35" s="15">
        <f t="shared" ca="1" si="3"/>
        <v>3</v>
      </c>
      <c r="J35" s="17" t="s">
        <v>116</v>
      </c>
      <c r="K35" s="11" t="s">
        <v>19</v>
      </c>
      <c r="L35" s="11" t="s">
        <v>113</v>
      </c>
      <c r="M35" s="108"/>
      <c r="N35" s="31"/>
    </row>
    <row r="36" spans="1:14">
      <c r="A36" s="5"/>
      <c r="B36" s="6"/>
      <c r="C36" s="6"/>
      <c r="D36" s="6" t="s">
        <v>99</v>
      </c>
      <c r="E36" s="6"/>
      <c r="F36" s="17" t="s">
        <v>117</v>
      </c>
      <c r="G36" s="15" t="str">
        <f>VLOOKUP(F36,Data!$B$122:$C$135,2,FALSE)</f>
        <v>Apple</v>
      </c>
      <c r="H36" s="15">
        <f>VLOOKUP(F36,Data!$B$122:$D$135,3,FALSE)</f>
        <v>2017</v>
      </c>
      <c r="I36" s="15">
        <f t="shared" ca="1" si="3"/>
        <v>9</v>
      </c>
      <c r="J36" s="17" t="s">
        <v>118</v>
      </c>
      <c r="K36" s="11" t="s">
        <v>19</v>
      </c>
      <c r="L36" s="11" t="s">
        <v>113</v>
      </c>
      <c r="M36" s="108" t="s">
        <v>111</v>
      </c>
      <c r="N36" s="31"/>
    </row>
    <row r="37" spans="1:14">
      <c r="A37" s="5"/>
      <c r="B37" s="6"/>
      <c r="C37" s="6"/>
      <c r="D37" s="6" t="s">
        <v>99</v>
      </c>
      <c r="E37" s="6"/>
      <c r="F37" s="17" t="s">
        <v>32</v>
      </c>
      <c r="G37" s="15" t="str">
        <f>VLOOKUP(F37,Data!$B$122:$C$135,2,FALSE)</f>
        <v>Acer</v>
      </c>
      <c r="H37" s="15">
        <f>VLOOKUP(F37,Data!$B$122:$D$135,3,FALSE)</f>
        <v>2024</v>
      </c>
      <c r="I37" s="15">
        <f t="shared" ca="1" si="3"/>
        <v>2</v>
      </c>
      <c r="J37" s="17" t="s">
        <v>120</v>
      </c>
      <c r="K37" s="11" t="s">
        <v>19</v>
      </c>
      <c r="L37" s="11"/>
      <c r="M37" s="108" t="s">
        <v>111</v>
      </c>
      <c r="N37" s="31" t="s">
        <v>121</v>
      </c>
    </row>
    <row r="38" spans="1:14">
      <c r="A38" s="5"/>
      <c r="B38" s="6"/>
      <c r="C38" s="6"/>
      <c r="D38" s="6" t="s">
        <v>99</v>
      </c>
      <c r="E38" s="6"/>
      <c r="F38" s="17" t="s">
        <v>122</v>
      </c>
      <c r="G38" s="15" t="str">
        <f>VLOOKUP(F38,Data!$B$122:$C$135,2,FALSE)</f>
        <v>Asus</v>
      </c>
      <c r="H38" s="15">
        <f>VLOOKUP(F38,Data!$B$122:$D$135,3,FALSE)</f>
        <v>2021</v>
      </c>
      <c r="I38" s="15">
        <f t="shared" ca="1" si="3"/>
        <v>5</v>
      </c>
      <c r="J38" s="17" t="s">
        <v>123</v>
      </c>
      <c r="K38" s="11" t="s">
        <v>19</v>
      </c>
      <c r="L38" s="11" t="s">
        <v>113</v>
      </c>
      <c r="M38" s="108" t="s">
        <v>119</v>
      </c>
      <c r="N38" s="31" t="s">
        <v>124</v>
      </c>
    </row>
    <row r="39" spans="1:14">
      <c r="A39" s="5"/>
      <c r="B39" s="6"/>
      <c r="C39" s="6"/>
      <c r="D39" s="6" t="s">
        <v>99</v>
      </c>
      <c r="E39" s="6"/>
      <c r="F39" s="17" t="s">
        <v>125</v>
      </c>
      <c r="G39" s="15" t="str">
        <f>VLOOKUP(F39,Data!$B$122:$C$135,2,FALSE)</f>
        <v>Acer</v>
      </c>
      <c r="H39" s="15">
        <f>VLOOKUP(F39,Data!$B$122:$D$135,3,FALSE)</f>
        <v>2021</v>
      </c>
      <c r="I39" s="15">
        <f t="shared" ca="1" si="3"/>
        <v>5</v>
      </c>
      <c r="J39" s="17" t="s">
        <v>126</v>
      </c>
      <c r="K39" s="11" t="s">
        <v>19</v>
      </c>
      <c r="L39" s="11" t="s">
        <v>113</v>
      </c>
      <c r="M39" s="108" t="s">
        <v>119</v>
      </c>
      <c r="N39" s="31" t="s">
        <v>124</v>
      </c>
    </row>
    <row r="40" spans="1:14">
      <c r="A40" s="5">
        <v>19</v>
      </c>
      <c r="B40" s="6" t="s">
        <v>127</v>
      </c>
      <c r="C40" s="6" t="s">
        <v>128</v>
      </c>
      <c r="D40" s="6" t="s">
        <v>99</v>
      </c>
      <c r="E40" s="6" t="s">
        <v>63</v>
      </c>
      <c r="F40" s="17" t="s">
        <v>17</v>
      </c>
      <c r="G40" s="15" t="str">
        <f>VLOOKUP(F40,Data!$B$122:$C$135,2,FALSE)</f>
        <v>Acer</v>
      </c>
      <c r="H40" s="15">
        <f>VLOOKUP(F40,Data!$B$122:$D$135,3,FALSE)</f>
        <v>2021</v>
      </c>
      <c r="I40" s="15">
        <f t="shared" ca="1" si="3"/>
        <v>5</v>
      </c>
      <c r="J40" s="17" t="s">
        <v>129</v>
      </c>
      <c r="K40" s="11" t="s">
        <v>19</v>
      </c>
      <c r="L40" s="11"/>
      <c r="M40" s="108" t="s">
        <v>111</v>
      </c>
      <c r="N40" s="31"/>
    </row>
    <row r="41" spans="1:14">
      <c r="A41" s="5"/>
      <c r="B41" s="6"/>
      <c r="C41" s="6"/>
      <c r="D41" s="6" t="s">
        <v>99</v>
      </c>
      <c r="E41" s="6"/>
      <c r="F41" s="17" t="s">
        <v>32</v>
      </c>
      <c r="G41" s="15" t="str">
        <f>VLOOKUP(F41,Data!$B$122:$C$135,2,FALSE)</f>
        <v>Acer</v>
      </c>
      <c r="H41" s="15">
        <f>VLOOKUP(F41,Data!$B$122:$D$135,3,FALSE)</f>
        <v>2024</v>
      </c>
      <c r="I41" s="15">
        <f t="shared" ca="1" si="3"/>
        <v>2</v>
      </c>
      <c r="J41" s="17" t="s">
        <v>130</v>
      </c>
      <c r="K41" s="11" t="s">
        <v>19</v>
      </c>
      <c r="L41" s="11"/>
      <c r="M41" s="108"/>
      <c r="N41" s="31" t="s">
        <v>131</v>
      </c>
    </row>
    <row r="42" spans="1:14">
      <c r="A42" s="5"/>
      <c r="B42" s="6"/>
      <c r="C42" s="6"/>
      <c r="D42" s="6" t="s">
        <v>99</v>
      </c>
      <c r="E42" s="6"/>
      <c r="F42" s="17" t="s">
        <v>107</v>
      </c>
      <c r="G42" s="15" t="str">
        <f>VLOOKUP(F42,Data!$B$122:$C$135,2,FALSE)</f>
        <v>Acer</v>
      </c>
      <c r="H42" s="15">
        <f>VLOOKUP(F42,Data!$B$122:$D$135,3,FALSE)</f>
        <v>2022</v>
      </c>
      <c r="I42" s="15">
        <f t="shared" ca="1" si="3"/>
        <v>4</v>
      </c>
      <c r="J42" s="17" t="s">
        <v>132</v>
      </c>
      <c r="K42" s="11" t="s">
        <v>109</v>
      </c>
      <c r="L42" s="11" t="s">
        <v>133</v>
      </c>
      <c r="M42" s="108" t="s">
        <v>70</v>
      </c>
      <c r="N42" s="31"/>
    </row>
    <row r="43" spans="1:14">
      <c r="A43" s="5">
        <v>20</v>
      </c>
      <c r="B43" s="6" t="s">
        <v>134</v>
      </c>
      <c r="C43" s="6" t="s">
        <v>135</v>
      </c>
      <c r="D43" s="6" t="s">
        <v>99</v>
      </c>
      <c r="E43" s="6" t="s">
        <v>53</v>
      </c>
      <c r="F43" s="17" t="s">
        <v>20</v>
      </c>
      <c r="G43" s="15" t="str">
        <f>VLOOKUP(F43,Data!$B$122:$C$135,2,FALSE)</f>
        <v>Apple</v>
      </c>
      <c r="H43" s="15">
        <f>VLOOKUP(F43,Data!$B$122:$D$135,3,FALSE)</f>
        <v>2023</v>
      </c>
      <c r="I43" s="15">
        <f t="shared" ca="1" si="3"/>
        <v>3</v>
      </c>
      <c r="J43" s="17" t="s">
        <v>136</v>
      </c>
      <c r="K43" s="11" t="s">
        <v>19</v>
      </c>
      <c r="L43" s="11" t="s">
        <v>134</v>
      </c>
      <c r="M43" s="108"/>
      <c r="N43" s="31"/>
    </row>
    <row r="44" spans="1:14">
      <c r="A44" s="5"/>
      <c r="B44" s="6"/>
      <c r="C44" s="6"/>
      <c r="D44" s="6" t="s">
        <v>99</v>
      </c>
      <c r="E44" s="6"/>
      <c r="F44" s="17" t="s">
        <v>32</v>
      </c>
      <c r="G44" s="15" t="str">
        <f>VLOOKUP(F44,Data!$B$122:$C$135,2,FALSE)</f>
        <v>Acer</v>
      </c>
      <c r="H44" s="15">
        <f>VLOOKUP(F44,Data!$B$122:$D$135,3,FALSE)</f>
        <v>2024</v>
      </c>
      <c r="I44" s="15">
        <f t="shared" ca="1" si="3"/>
        <v>2</v>
      </c>
      <c r="J44" s="17" t="s">
        <v>137</v>
      </c>
      <c r="K44" s="11" t="s">
        <v>19</v>
      </c>
      <c r="L44" s="11"/>
      <c r="M44" s="108"/>
      <c r="N44" s="31" t="s">
        <v>138</v>
      </c>
    </row>
    <row r="45" spans="1:14">
      <c r="A45" s="5"/>
      <c r="B45" s="6"/>
      <c r="C45" s="6"/>
      <c r="D45" s="6" t="s">
        <v>99</v>
      </c>
      <c r="E45" s="6"/>
      <c r="F45" s="17" t="s">
        <v>107</v>
      </c>
      <c r="G45" s="15" t="str">
        <f>VLOOKUP(F45,Data!$B$122:$C$135,2,FALSE)</f>
        <v>Acer</v>
      </c>
      <c r="H45" s="15">
        <f>VLOOKUP(F45,Data!$B$122:$D$135,3,FALSE)</f>
        <v>2022</v>
      </c>
      <c r="I45" s="15">
        <f t="shared" ca="1" si="3"/>
        <v>4</v>
      </c>
      <c r="J45" s="17" t="s">
        <v>139</v>
      </c>
      <c r="K45" s="11" t="s">
        <v>109</v>
      </c>
      <c r="L45" s="11" t="s">
        <v>134</v>
      </c>
      <c r="M45" s="108" t="s">
        <v>119</v>
      </c>
      <c r="N45" s="31"/>
    </row>
    <row r="46" spans="1:14">
      <c r="A46" s="5">
        <v>21</v>
      </c>
      <c r="B46" s="6" t="s">
        <v>140</v>
      </c>
      <c r="C46" s="6" t="s">
        <v>141</v>
      </c>
      <c r="D46" s="6" t="s">
        <v>99</v>
      </c>
      <c r="E46" s="6" t="s">
        <v>63</v>
      </c>
      <c r="F46" s="17" t="s">
        <v>17</v>
      </c>
      <c r="G46" s="15" t="str">
        <f>VLOOKUP(F46,Data!$B$122:$C$135,2,FALSE)</f>
        <v>Acer</v>
      </c>
      <c r="H46" s="15">
        <f>VLOOKUP(F46,Data!$B$122:$D$135,3,FALSE)</f>
        <v>2021</v>
      </c>
      <c r="I46" s="15">
        <f t="shared" ca="1" si="3"/>
        <v>5</v>
      </c>
      <c r="J46" s="17" t="s">
        <v>142</v>
      </c>
      <c r="K46" s="11" t="s">
        <v>19</v>
      </c>
      <c r="L46" s="11" t="s">
        <v>140</v>
      </c>
      <c r="M46" s="108"/>
      <c r="N46" s="31"/>
    </row>
    <row r="47" spans="1:14">
      <c r="A47" s="5"/>
      <c r="B47" s="6"/>
      <c r="C47" s="6"/>
      <c r="D47" s="6" t="s">
        <v>99</v>
      </c>
      <c r="E47" s="6"/>
      <c r="F47" s="17" t="s">
        <v>32</v>
      </c>
      <c r="G47" s="15" t="str">
        <f>VLOOKUP(F47,Data!$B$122:$C$135,2,FALSE)</f>
        <v>Acer</v>
      </c>
      <c r="H47" s="15">
        <f>VLOOKUP(F47,Data!$B$122:$D$135,3,FALSE)</f>
        <v>2024</v>
      </c>
      <c r="I47" s="15">
        <f t="shared" ca="1" si="3"/>
        <v>2</v>
      </c>
      <c r="J47" s="17" t="s">
        <v>143</v>
      </c>
      <c r="K47" s="11" t="s">
        <v>19</v>
      </c>
      <c r="L47" s="11" t="s">
        <v>140</v>
      </c>
      <c r="M47" s="108" t="s">
        <v>111</v>
      </c>
      <c r="N47" s="31" t="s">
        <v>144</v>
      </c>
    </row>
    <row r="48" spans="1:14">
      <c r="A48" s="5">
        <v>22</v>
      </c>
      <c r="B48" s="6" t="s">
        <v>145</v>
      </c>
      <c r="C48" s="6" t="s">
        <v>146</v>
      </c>
      <c r="D48" s="6" t="s">
        <v>99</v>
      </c>
      <c r="E48" s="6" t="s">
        <v>85</v>
      </c>
      <c r="F48" s="17" t="s">
        <v>20</v>
      </c>
      <c r="G48" s="15" t="str">
        <f>VLOOKUP(F48,Data!$B$122:$C$135,2,FALSE)</f>
        <v>Apple</v>
      </c>
      <c r="H48" s="15">
        <f>VLOOKUP(F48,Data!$B$122:$D$135,3,FALSE)</f>
        <v>2023</v>
      </c>
      <c r="I48" s="15">
        <f t="shared" ca="1" si="3"/>
        <v>3</v>
      </c>
      <c r="J48" s="17" t="s">
        <v>147</v>
      </c>
      <c r="K48" s="11" t="s">
        <v>19</v>
      </c>
      <c r="L48" s="11" t="s">
        <v>145</v>
      </c>
      <c r="M48" s="108"/>
      <c r="N48" s="31"/>
    </row>
    <row r="49" spans="1:14">
      <c r="A49" s="5"/>
      <c r="B49" s="6"/>
      <c r="C49" s="6"/>
      <c r="D49" s="6" t="s">
        <v>99</v>
      </c>
      <c r="E49" s="6"/>
      <c r="F49" s="17" t="s">
        <v>17</v>
      </c>
      <c r="G49" s="15" t="str">
        <f>VLOOKUP(F49,Data!$B$122:$C$135,2,FALSE)</f>
        <v>Acer</v>
      </c>
      <c r="H49" s="15">
        <v>2022</v>
      </c>
      <c r="I49" s="15">
        <f t="shared" ca="1" si="3"/>
        <v>4</v>
      </c>
      <c r="J49" s="17" t="s">
        <v>148</v>
      </c>
      <c r="K49" s="11" t="s">
        <v>19</v>
      </c>
      <c r="L49" s="11"/>
      <c r="M49" s="108" t="s">
        <v>119</v>
      </c>
      <c r="N49" s="31"/>
    </row>
    <row r="50" spans="1:14">
      <c r="A50" s="5">
        <v>23</v>
      </c>
      <c r="B50" s="6" t="s">
        <v>149</v>
      </c>
      <c r="C50" s="6" t="s">
        <v>150</v>
      </c>
      <c r="D50" s="6" t="s">
        <v>99</v>
      </c>
      <c r="E50" s="6" t="s">
        <v>151</v>
      </c>
      <c r="F50" s="17" t="s">
        <v>17</v>
      </c>
      <c r="G50" s="15" t="str">
        <f>VLOOKUP(F50,Data!$B$122:$C$135,2,FALSE)</f>
        <v>Acer</v>
      </c>
      <c r="H50" s="15">
        <f>VLOOKUP(F50,Data!$B$122:$D$135,3,FALSE)</f>
        <v>2021</v>
      </c>
      <c r="I50" s="15">
        <f t="shared" ca="1" si="3"/>
        <v>5</v>
      </c>
      <c r="J50" s="17" t="s">
        <v>152</v>
      </c>
      <c r="K50" s="11" t="s">
        <v>19</v>
      </c>
      <c r="L50" s="11" t="s">
        <v>149</v>
      </c>
      <c r="M50" s="108"/>
      <c r="N50" s="31"/>
    </row>
    <row r="51" spans="1:14">
      <c r="A51" s="5"/>
      <c r="B51" s="6"/>
      <c r="C51" s="6"/>
      <c r="D51" s="6" t="s">
        <v>99</v>
      </c>
      <c r="E51" s="6"/>
      <c r="F51" s="17" t="s">
        <v>25</v>
      </c>
      <c r="G51" s="15" t="str">
        <f>VLOOKUP(F51,Data!$B$122:$C$135,2,FALSE)</f>
        <v>Asus</v>
      </c>
      <c r="H51" s="15">
        <f>VLOOKUP(F51,Data!$B$122:$D$135,3,FALSE)</f>
        <v>2020</v>
      </c>
      <c r="I51" s="15">
        <f t="shared" ca="1" si="3"/>
        <v>6</v>
      </c>
      <c r="J51" s="17" t="s">
        <v>153</v>
      </c>
      <c r="K51" s="11" t="s">
        <v>19</v>
      </c>
      <c r="L51" s="11" t="s">
        <v>149</v>
      </c>
      <c r="M51" s="108" t="s">
        <v>70</v>
      </c>
      <c r="N51" s="31"/>
    </row>
    <row r="52" spans="1:14">
      <c r="A52" s="5">
        <v>24</v>
      </c>
      <c r="B52" s="6" t="s">
        <v>158</v>
      </c>
      <c r="C52" s="6" t="s">
        <v>159</v>
      </c>
      <c r="D52" s="6" t="s">
        <v>160</v>
      </c>
      <c r="E52" s="6" t="s">
        <v>16</v>
      </c>
      <c r="F52" s="17" t="s">
        <v>32</v>
      </c>
      <c r="G52" s="15" t="str">
        <f>VLOOKUP(F52,Data!$B$122:$C$135,2,FALSE)</f>
        <v>Acer</v>
      </c>
      <c r="H52" s="15">
        <f>VLOOKUP(F52,Data!$B$122:$D$135,3,FALSE)</f>
        <v>2024</v>
      </c>
      <c r="I52" s="15">
        <f t="shared" ca="1" si="3"/>
        <v>2</v>
      </c>
      <c r="J52" s="17" t="s">
        <v>161</v>
      </c>
      <c r="K52" s="11" t="s">
        <v>19</v>
      </c>
      <c r="L52" s="11" t="s">
        <v>162</v>
      </c>
      <c r="M52" s="108"/>
      <c r="N52" s="31" t="s">
        <v>163</v>
      </c>
    </row>
    <row r="53" spans="1:14">
      <c r="A53" s="5"/>
      <c r="B53" s="6"/>
      <c r="C53" s="6"/>
      <c r="D53" s="6"/>
      <c r="E53" s="6"/>
      <c r="F53" s="17" t="s">
        <v>32</v>
      </c>
      <c r="G53" s="15" t="str">
        <f>VLOOKUP(F53,Data!$B$122:$C$135,2,FALSE)</f>
        <v>Acer</v>
      </c>
      <c r="H53" s="15">
        <f>VLOOKUP(F53,Data!$B$122:$D$135,3,FALSE)</f>
        <v>2024</v>
      </c>
      <c r="I53" s="15">
        <f t="shared" ref="I53:I62" ca="1" si="4">YEAR(TODAY()) - H53</f>
        <v>2</v>
      </c>
      <c r="J53" t="s">
        <v>164</v>
      </c>
      <c r="K53" s="11" t="s">
        <v>19</v>
      </c>
      <c r="L53" s="11" t="s">
        <v>165</v>
      </c>
      <c r="M53" s="108"/>
      <c r="N53" s="31"/>
    </row>
    <row r="54" spans="1:14">
      <c r="A54" s="5"/>
      <c r="B54" s="6"/>
      <c r="C54" s="6"/>
      <c r="D54" s="6"/>
      <c r="E54" s="6"/>
      <c r="F54" s="17" t="s">
        <v>32</v>
      </c>
      <c r="G54" s="15" t="str">
        <f>VLOOKUP(F54,Data!$B$122:$C$135,2,FALSE)</f>
        <v>Acer</v>
      </c>
      <c r="H54" s="15">
        <f>VLOOKUP(F54,Data!$B$122:$D$135,3,FALSE)</f>
        <v>2024</v>
      </c>
      <c r="I54" s="15">
        <f t="shared" ca="1" si="4"/>
        <v>2</v>
      </c>
      <c r="J54" s="17" t="s">
        <v>166</v>
      </c>
      <c r="K54" s="11" t="s">
        <v>19</v>
      </c>
      <c r="L54" s="11" t="s">
        <v>167</v>
      </c>
      <c r="M54" s="108"/>
      <c r="N54" s="31"/>
    </row>
    <row r="55" spans="1:14">
      <c r="A55" s="5">
        <v>25</v>
      </c>
      <c r="B55" s="6" t="s">
        <v>168</v>
      </c>
      <c r="C55" s="6" t="s">
        <v>169</v>
      </c>
      <c r="D55" s="6" t="s">
        <v>160</v>
      </c>
      <c r="E55" s="6" t="s">
        <v>53</v>
      </c>
      <c r="F55" s="17" t="s">
        <v>20</v>
      </c>
      <c r="G55" s="15" t="str">
        <f>VLOOKUP(F55,Data!$B$122:$C$135,2,FALSE)</f>
        <v>Apple</v>
      </c>
      <c r="H55" s="15">
        <f>VLOOKUP(F55,Data!$B$122:$D$135,3,FALSE)</f>
        <v>2023</v>
      </c>
      <c r="I55" s="15">
        <f t="shared" ca="1" si="4"/>
        <v>3</v>
      </c>
      <c r="J55" t="s">
        <v>170</v>
      </c>
      <c r="K55" s="11" t="s">
        <v>19</v>
      </c>
      <c r="L55" s="11" t="s">
        <v>168</v>
      </c>
      <c r="M55" s="108"/>
      <c r="N55" s="31"/>
    </row>
    <row r="56" spans="1:14">
      <c r="A56" s="5"/>
      <c r="B56" s="6"/>
      <c r="C56" s="6"/>
      <c r="D56" s="6"/>
      <c r="E56" s="6"/>
      <c r="F56" s="103" t="s">
        <v>17</v>
      </c>
      <c r="G56" s="32" t="str">
        <f>VLOOKUP(F56,Data!$B$122:$C$135,2,FALSE)</f>
        <v>Acer</v>
      </c>
      <c r="H56" s="32">
        <f>VLOOKUP(F56,Data!$B$122:$D$135,3,FALSE)</f>
        <v>2021</v>
      </c>
      <c r="I56" s="32">
        <f t="shared" ca="1" si="4"/>
        <v>5</v>
      </c>
      <c r="J56" s="103" t="s">
        <v>171</v>
      </c>
      <c r="K56" s="31" t="s">
        <v>19</v>
      </c>
      <c r="L56" s="31" t="s">
        <v>172</v>
      </c>
      <c r="M56" s="108" t="s">
        <v>111</v>
      </c>
      <c r="N56" s="31"/>
    </row>
    <row r="57" spans="1:14">
      <c r="A57" s="5">
        <v>26</v>
      </c>
      <c r="B57" s="6" t="s">
        <v>173</v>
      </c>
      <c r="C57" s="6" t="s">
        <v>174</v>
      </c>
      <c r="D57" s="6" t="s">
        <v>160</v>
      </c>
      <c r="E57" s="6" t="s">
        <v>53</v>
      </c>
      <c r="F57" s="103" t="s">
        <v>20</v>
      </c>
      <c r="G57" s="32" t="str">
        <f>VLOOKUP(F57,Data!$B$122:$C$135,2,FALSE)</f>
        <v>Apple</v>
      </c>
      <c r="H57" s="32">
        <f>VLOOKUP(F57,Data!$B$122:$D$135,3,FALSE)</f>
        <v>2023</v>
      </c>
      <c r="I57" s="32">
        <f t="shared" ca="1" si="4"/>
        <v>3</v>
      </c>
      <c r="J57" s="103" t="s">
        <v>175</v>
      </c>
      <c r="K57" s="31" t="s">
        <v>19</v>
      </c>
      <c r="L57" s="31" t="s">
        <v>173</v>
      </c>
      <c r="M57" s="109"/>
      <c r="N57" s="31"/>
    </row>
    <row r="58" spans="1:14">
      <c r="A58" s="5"/>
      <c r="B58" s="6"/>
      <c r="C58" s="6"/>
      <c r="D58" s="6" t="s">
        <v>160</v>
      </c>
      <c r="E58" s="6"/>
      <c r="F58" s="17" t="s">
        <v>176</v>
      </c>
      <c r="G58" s="15" t="str">
        <f>VLOOKUP(F58,Data!$B$122:$C$135,2,FALSE)</f>
        <v>Apple</v>
      </c>
      <c r="H58" s="15">
        <f>VLOOKUP(F58,Data!$B$122:$D$135,3,FALSE)</f>
        <v>2022</v>
      </c>
      <c r="I58" s="15">
        <f t="shared" ca="1" si="4"/>
        <v>4</v>
      </c>
      <c r="J58" s="17" t="s">
        <v>177</v>
      </c>
      <c r="K58" s="11" t="s">
        <v>19</v>
      </c>
      <c r="L58" s="105" t="s">
        <v>154</v>
      </c>
      <c r="M58" s="108"/>
      <c r="N58" s="94" t="s">
        <v>178</v>
      </c>
    </row>
    <row r="59" spans="1:14">
      <c r="A59" s="5"/>
      <c r="B59" s="6"/>
      <c r="C59" s="6"/>
      <c r="D59" s="6" t="s">
        <v>160</v>
      </c>
      <c r="E59" s="6"/>
      <c r="F59" s="17" t="s">
        <v>107</v>
      </c>
      <c r="G59" s="15" t="str">
        <f>VLOOKUP(F59,Data!$B$122:$C$135,2,FALSE)</f>
        <v>Acer</v>
      </c>
      <c r="H59" s="15">
        <f>VLOOKUP(F59,Data!$B$122:$D$135,3,FALSE)</f>
        <v>2022</v>
      </c>
      <c r="I59" s="15">
        <f t="shared" ca="1" si="4"/>
        <v>4</v>
      </c>
      <c r="J59" s="17" t="s">
        <v>179</v>
      </c>
      <c r="K59" s="11" t="s">
        <v>109</v>
      </c>
      <c r="L59" s="11"/>
      <c r="M59" s="108"/>
      <c r="N59" s="31" t="s">
        <v>180</v>
      </c>
    </row>
    <row r="60" spans="1:14">
      <c r="A60" s="5"/>
      <c r="B60" s="6"/>
      <c r="C60" s="6"/>
      <c r="D60" s="6" t="s">
        <v>160</v>
      </c>
      <c r="E60" s="6"/>
      <c r="F60" s="17" t="s">
        <v>25</v>
      </c>
      <c r="G60" s="15" t="str">
        <f>VLOOKUP(F60,Data!$B$122:$C$135,2,FALSE)</f>
        <v>Asus</v>
      </c>
      <c r="H60" s="15">
        <f>VLOOKUP(F60,Data!$B$122:$D$135,3,FALSE)</f>
        <v>2020</v>
      </c>
      <c r="I60" s="15">
        <f t="shared" ca="1" si="4"/>
        <v>6</v>
      </c>
      <c r="J60" s="17"/>
      <c r="K60" s="11" t="s">
        <v>19</v>
      </c>
      <c r="L60" s="11"/>
      <c r="M60" s="108"/>
      <c r="N60" s="31" t="s">
        <v>181</v>
      </c>
    </row>
    <row r="61" spans="1:14">
      <c r="A61" s="5"/>
      <c r="B61" s="6"/>
      <c r="C61" s="6"/>
      <c r="D61" s="6" t="s">
        <v>160</v>
      </c>
      <c r="E61" s="6"/>
      <c r="F61" s="17" t="s">
        <v>17</v>
      </c>
      <c r="G61" s="15" t="str">
        <f>VLOOKUP(F61,Data!$B$122:$C$135,2,FALSE)</f>
        <v>Acer</v>
      </c>
      <c r="H61" s="15">
        <f>VLOOKUP(F61,Data!$B$122:$D$135,3,FALSE)</f>
        <v>2021</v>
      </c>
      <c r="I61" s="15">
        <f t="shared" ca="1" si="4"/>
        <v>5</v>
      </c>
      <c r="J61" s="17"/>
      <c r="K61" s="11" t="s">
        <v>19</v>
      </c>
      <c r="L61" s="11"/>
      <c r="M61" s="108"/>
      <c r="N61" s="106" t="s">
        <v>182</v>
      </c>
    </row>
    <row r="62" spans="1:14">
      <c r="A62" s="5"/>
      <c r="B62" s="6"/>
      <c r="C62" s="6"/>
      <c r="D62" s="6" t="s">
        <v>160</v>
      </c>
      <c r="E62" s="6"/>
      <c r="F62" s="17" t="s">
        <v>107</v>
      </c>
      <c r="G62" s="15" t="str">
        <f>VLOOKUP(F62,Data!$B$122:$C$135,2,FALSE)</f>
        <v>Acer</v>
      </c>
      <c r="H62" s="15">
        <f>VLOOKUP(F62,Data!$B$122:$D$135,3,FALSE)</f>
        <v>2022</v>
      </c>
      <c r="I62" s="15">
        <f t="shared" ca="1" si="4"/>
        <v>4</v>
      </c>
      <c r="J62" s="17" t="s">
        <v>183</v>
      </c>
      <c r="K62" s="11" t="s">
        <v>109</v>
      </c>
      <c r="L62" s="11"/>
      <c r="M62" s="108" t="s">
        <v>119</v>
      </c>
      <c r="N62" s="31"/>
    </row>
    <row r="63" spans="1:14">
      <c r="A63" s="5">
        <v>27</v>
      </c>
      <c r="B63" s="6" t="s">
        <v>184</v>
      </c>
      <c r="C63" s="6" t="s">
        <v>185</v>
      </c>
      <c r="D63" s="6" t="s">
        <v>160</v>
      </c>
      <c r="E63" s="6" t="s">
        <v>53</v>
      </c>
      <c r="F63" s="17" t="s">
        <v>17</v>
      </c>
      <c r="G63" s="15" t="str">
        <f>VLOOKUP(F63,Data!$B$122:$C$135,2,FALSE)</f>
        <v>Acer</v>
      </c>
      <c r="H63" s="15">
        <f>VLOOKUP(F63,Data!$B$122:$D$135,3,FALSE)</f>
        <v>2021</v>
      </c>
      <c r="I63" s="15">
        <f t="shared" ref="I63:I89" ca="1" si="5">YEAR(TODAY()) - H63</f>
        <v>5</v>
      </c>
      <c r="J63" s="17" t="s">
        <v>186</v>
      </c>
      <c r="K63" s="11" t="s">
        <v>19</v>
      </c>
      <c r="L63" s="11" t="s">
        <v>184</v>
      </c>
      <c r="M63" s="108"/>
      <c r="N63" s="31"/>
    </row>
    <row r="64" spans="1:14">
      <c r="A64" s="5">
        <v>28</v>
      </c>
      <c r="B64" s="6" t="s">
        <v>187</v>
      </c>
      <c r="C64" s="6" t="s">
        <v>188</v>
      </c>
      <c r="D64" s="6" t="s">
        <v>160</v>
      </c>
      <c r="E64" s="6" t="s">
        <v>53</v>
      </c>
      <c r="F64" s="17" t="s">
        <v>20</v>
      </c>
      <c r="G64" s="15" t="str">
        <f>VLOOKUP(F64,Data!$B$122:$C$135,2,FALSE)</f>
        <v>Apple</v>
      </c>
      <c r="H64" s="15">
        <f>VLOOKUP(F64,Data!$B$122:$D$135,3,FALSE)</f>
        <v>2023</v>
      </c>
      <c r="I64" s="15">
        <f t="shared" ca="1" si="5"/>
        <v>3</v>
      </c>
      <c r="J64" s="17" t="s">
        <v>189</v>
      </c>
      <c r="K64" s="11" t="s">
        <v>19</v>
      </c>
      <c r="L64" s="11" t="s">
        <v>187</v>
      </c>
      <c r="M64" s="108"/>
      <c r="N64" s="31"/>
    </row>
    <row r="65" spans="1:14">
      <c r="A65" s="5">
        <v>29</v>
      </c>
      <c r="B65" s="6" t="s">
        <v>190</v>
      </c>
      <c r="C65" s="6" t="s">
        <v>191</v>
      </c>
      <c r="D65" s="6" t="s">
        <v>160</v>
      </c>
      <c r="E65" s="6" t="s">
        <v>53</v>
      </c>
      <c r="F65" s="17" t="s">
        <v>20</v>
      </c>
      <c r="G65" s="15" t="s">
        <v>112</v>
      </c>
      <c r="H65" s="15">
        <v>2023</v>
      </c>
      <c r="I65" s="15">
        <v>3</v>
      </c>
      <c r="J65" s="17" t="s">
        <v>192</v>
      </c>
      <c r="K65" s="11" t="s">
        <v>19</v>
      </c>
      <c r="L65" s="11" t="s">
        <v>190</v>
      </c>
      <c r="M65" s="108"/>
      <c r="N65" s="31"/>
    </row>
    <row r="66" spans="1:14">
      <c r="A66" s="5"/>
      <c r="B66" s="6"/>
      <c r="C66" s="6"/>
      <c r="D66" s="6" t="s">
        <v>160</v>
      </c>
      <c r="E66" s="6"/>
      <c r="F66" s="17" t="s">
        <v>193</v>
      </c>
      <c r="G66" s="15" t="s">
        <v>112</v>
      </c>
      <c r="H66" s="15">
        <v>2023</v>
      </c>
      <c r="I66" s="15">
        <v>3</v>
      </c>
      <c r="J66" s="17" t="s">
        <v>194</v>
      </c>
      <c r="K66" s="11" t="s">
        <v>19</v>
      </c>
      <c r="L66" s="11" t="s">
        <v>195</v>
      </c>
      <c r="M66" s="108" t="s">
        <v>111</v>
      </c>
      <c r="N66" s="94" t="s">
        <v>178</v>
      </c>
    </row>
    <row r="67" spans="1:14">
      <c r="A67" s="5"/>
      <c r="B67" s="6"/>
      <c r="C67" s="6"/>
      <c r="D67" s="6" t="s">
        <v>160</v>
      </c>
      <c r="E67" s="6"/>
      <c r="F67" s="17" t="s">
        <v>17</v>
      </c>
      <c r="G67" s="15" t="s">
        <v>156</v>
      </c>
      <c r="H67" s="15">
        <v>2021</v>
      </c>
      <c r="I67" s="15">
        <v>5</v>
      </c>
      <c r="J67" s="17" t="s">
        <v>196</v>
      </c>
      <c r="K67" s="11" t="s">
        <v>19</v>
      </c>
      <c r="L67" s="11" t="s">
        <v>197</v>
      </c>
      <c r="M67" s="108"/>
      <c r="N67" s="94" t="s">
        <v>198</v>
      </c>
    </row>
    <row r="68" spans="1:14">
      <c r="A68" s="5">
        <v>30</v>
      </c>
      <c r="B68" s="6" t="s">
        <v>199</v>
      </c>
      <c r="C68" s="6" t="s">
        <v>200</v>
      </c>
      <c r="D68" s="6" t="s">
        <v>160</v>
      </c>
      <c r="E68" s="6" t="s">
        <v>53</v>
      </c>
      <c r="F68" s="17"/>
      <c r="G68" s="15" t="e">
        <f>VLOOKUP(F68,Data!$B$122:$C$135,2,FALSE)</f>
        <v>#N/A</v>
      </c>
      <c r="H68" s="15" t="e">
        <f>VLOOKUP(F68,Data!$B$122:$D$135,3,FALSE)</f>
        <v>#N/A</v>
      </c>
      <c r="I68" s="15" t="e">
        <f ca="1">YEAR(TODAY()) - H68</f>
        <v>#N/A</v>
      </c>
      <c r="J68" s="17"/>
      <c r="K68" s="11"/>
      <c r="L68" s="11"/>
      <c r="M68" s="108"/>
      <c r="N68" s="31" t="s">
        <v>201</v>
      </c>
    </row>
    <row r="69" spans="1:14">
      <c r="A69" s="5">
        <v>31</v>
      </c>
      <c r="B69" s="6" t="s">
        <v>172</v>
      </c>
      <c r="C69" s="6" t="s">
        <v>202</v>
      </c>
      <c r="D69" s="6" t="s">
        <v>160</v>
      </c>
      <c r="E69" s="6" t="s">
        <v>63</v>
      </c>
      <c r="F69" s="17" t="s">
        <v>176</v>
      </c>
      <c r="G69" s="15" t="str">
        <f>VLOOKUP(F69,Data!$B$122:$C$135,2,FALSE)</f>
        <v>Apple</v>
      </c>
      <c r="H69" s="15">
        <f>VLOOKUP(F69,Data!$B$122:$D$135,3,FALSE)</f>
        <v>2022</v>
      </c>
      <c r="I69" s="15">
        <f ca="1">YEAR(TODAY()) - H69</f>
        <v>4</v>
      </c>
      <c r="J69" s="17" t="s">
        <v>203</v>
      </c>
      <c r="K69" s="11" t="s">
        <v>19</v>
      </c>
      <c r="L69" s="11"/>
      <c r="M69" s="108"/>
      <c r="N69" s="31" t="s">
        <v>204</v>
      </c>
    </row>
    <row r="70" spans="1:14">
      <c r="A70" s="5">
        <v>32</v>
      </c>
      <c r="B70" s="6" t="s">
        <v>205</v>
      </c>
      <c r="C70" s="6" t="s">
        <v>206</v>
      </c>
      <c r="D70" s="6" t="s">
        <v>160</v>
      </c>
      <c r="E70" s="6" t="s">
        <v>63</v>
      </c>
      <c r="F70" s="17" t="s">
        <v>78</v>
      </c>
      <c r="G70" s="15" t="str">
        <f>VLOOKUP(F70,Data!$B$122:$C$135,2,FALSE)</f>
        <v>Apple</v>
      </c>
      <c r="H70" s="15">
        <f>VLOOKUP(F70,Data!$B$122:$D$135,3,FALSE)</f>
        <v>2022</v>
      </c>
      <c r="I70" s="15">
        <f t="shared" ca="1" si="5"/>
        <v>4</v>
      </c>
      <c r="J70" s="17" t="s">
        <v>207</v>
      </c>
      <c r="K70" s="11" t="s">
        <v>19</v>
      </c>
      <c r="L70" s="11" t="s">
        <v>205</v>
      </c>
      <c r="M70" s="108"/>
      <c r="N70" s="31"/>
    </row>
    <row r="71" spans="1:14">
      <c r="A71" s="5"/>
      <c r="B71" s="6"/>
      <c r="C71" s="6"/>
      <c r="D71" s="6" t="s">
        <v>160</v>
      </c>
      <c r="E71" s="6"/>
      <c r="F71" s="17" t="s">
        <v>176</v>
      </c>
      <c r="G71" s="15" t="str">
        <f>VLOOKUP(F71,Data!$B$122:$C$135,2,FALSE)</f>
        <v>Apple</v>
      </c>
      <c r="H71" s="15">
        <f>VLOOKUP(F71,Data!$B$122:$D$135,3,FALSE)</f>
        <v>2022</v>
      </c>
      <c r="I71" s="15">
        <f t="shared" ca="1" si="5"/>
        <v>4</v>
      </c>
      <c r="J71" s="17" t="s">
        <v>208</v>
      </c>
      <c r="K71" s="11" t="s">
        <v>19</v>
      </c>
      <c r="L71" s="11" t="s">
        <v>205</v>
      </c>
      <c r="M71" s="108"/>
      <c r="N71" s="31"/>
    </row>
    <row r="72" spans="1:14">
      <c r="A72" s="5">
        <v>33</v>
      </c>
      <c r="B72" s="6" t="s">
        <v>209</v>
      </c>
      <c r="C72" s="6" t="s">
        <v>210</v>
      </c>
      <c r="D72" s="6" t="s">
        <v>160</v>
      </c>
      <c r="E72" s="6" t="s">
        <v>63</v>
      </c>
      <c r="F72" s="93" t="s">
        <v>39</v>
      </c>
      <c r="G72" s="15" t="str">
        <f>VLOOKUP(F72,Data!$B$122:$C$135,2,FALSE)</f>
        <v>Apple</v>
      </c>
      <c r="H72" s="15">
        <f>VLOOKUP(F72,Data!$B$122:$D$135,3,FALSE)</f>
        <v>2023</v>
      </c>
      <c r="I72" s="15">
        <f ca="1">YEAR(TODAY()) - H72</f>
        <v>3</v>
      </c>
      <c r="J72" s="17" t="s">
        <v>211</v>
      </c>
      <c r="K72" s="11" t="s">
        <v>19</v>
      </c>
      <c r="L72" s="11" t="s">
        <v>209</v>
      </c>
      <c r="M72" s="108"/>
      <c r="N72" s="31"/>
    </row>
    <row r="73" spans="1:14">
      <c r="A73" s="5"/>
      <c r="B73" s="6"/>
      <c r="C73" s="6"/>
      <c r="D73" s="6" t="s">
        <v>160</v>
      </c>
      <c r="E73" s="6"/>
      <c r="F73" s="17" t="s">
        <v>20</v>
      </c>
      <c r="G73" s="15" t="str">
        <f>VLOOKUP(F73,Data!$B$122:$C$135,2,FALSE)</f>
        <v>Apple</v>
      </c>
      <c r="H73" s="15">
        <f>VLOOKUP(F73,Data!$B$122:$D$135,3,FALSE)</f>
        <v>2023</v>
      </c>
      <c r="I73" s="15">
        <f ca="1">YEAR(TODAY()) - H73</f>
        <v>3</v>
      </c>
      <c r="J73" s="17" t="s">
        <v>212</v>
      </c>
      <c r="K73" s="11" t="s">
        <v>19</v>
      </c>
      <c r="L73" s="11"/>
      <c r="M73" s="108"/>
      <c r="N73" s="31" t="s">
        <v>213</v>
      </c>
    </row>
    <row r="74" spans="1:14">
      <c r="A74" s="5">
        <v>34</v>
      </c>
      <c r="B74" s="6" t="s">
        <v>214</v>
      </c>
      <c r="C74" s="6" t="s">
        <v>215</v>
      </c>
      <c r="D74" s="6" t="s">
        <v>160</v>
      </c>
      <c r="E74" s="6" t="s">
        <v>63</v>
      </c>
      <c r="F74" s="17" t="s">
        <v>32</v>
      </c>
      <c r="G74" s="15" t="str">
        <f>VLOOKUP(F74,Data!$B$122:$C$135,2,FALSE)</f>
        <v>Acer</v>
      </c>
      <c r="H74" s="15">
        <f>VLOOKUP(F74,Data!$B$122:$D$135,3,FALSE)</f>
        <v>2024</v>
      </c>
      <c r="I74" s="15">
        <f t="shared" ca="1" si="5"/>
        <v>2</v>
      </c>
      <c r="J74" s="17" t="s">
        <v>216</v>
      </c>
      <c r="K74" s="11" t="s">
        <v>19</v>
      </c>
      <c r="L74" s="11" t="s">
        <v>214</v>
      </c>
      <c r="M74" s="108"/>
      <c r="N74" s="31"/>
    </row>
    <row r="75" spans="1:14">
      <c r="A75" s="5">
        <v>35</v>
      </c>
      <c r="B75" s="6" t="s">
        <v>165</v>
      </c>
      <c r="C75" s="6" t="s">
        <v>217</v>
      </c>
      <c r="D75" s="6" t="s">
        <v>160</v>
      </c>
      <c r="E75" s="6" t="s">
        <v>63</v>
      </c>
      <c r="F75" s="17"/>
      <c r="G75" s="15"/>
      <c r="H75" s="15"/>
      <c r="I75" s="15"/>
      <c r="J75" s="17"/>
      <c r="K75" s="11"/>
      <c r="L75" s="11"/>
      <c r="M75" s="108"/>
      <c r="N75" s="31" t="s">
        <v>218</v>
      </c>
    </row>
    <row r="76" spans="1:14">
      <c r="A76" s="5">
        <v>36</v>
      </c>
      <c r="B76" s="6" t="s">
        <v>219</v>
      </c>
      <c r="C76" s="6" t="s">
        <v>220</v>
      </c>
      <c r="D76" s="6" t="s">
        <v>160</v>
      </c>
      <c r="E76" s="6" t="s">
        <v>63</v>
      </c>
      <c r="F76" s="17" t="s">
        <v>32</v>
      </c>
      <c r="G76" s="15" t="str">
        <f>VLOOKUP(F76,Data!$B$122:$C$135,2,FALSE)</f>
        <v>Acer</v>
      </c>
      <c r="H76" s="15">
        <f>VLOOKUP(F76,Data!$B$122:$D$135,3,FALSE)</f>
        <v>2024</v>
      </c>
      <c r="I76" s="15">
        <f ca="1">YEAR(TODAY()) - H76</f>
        <v>2</v>
      </c>
      <c r="J76" s="17" t="s">
        <v>221</v>
      </c>
      <c r="K76" s="11" t="s">
        <v>19</v>
      </c>
      <c r="L76" s="11"/>
      <c r="M76" s="108"/>
      <c r="N76" s="31" t="s">
        <v>219</v>
      </c>
    </row>
    <row r="77" spans="1:14">
      <c r="A77" s="5">
        <v>37</v>
      </c>
      <c r="B77" s="6" t="s">
        <v>222</v>
      </c>
      <c r="C77" s="6" t="s">
        <v>223</v>
      </c>
      <c r="D77" s="6" t="s">
        <v>160</v>
      </c>
      <c r="E77" s="6" t="s">
        <v>85</v>
      </c>
      <c r="F77" s="17" t="s">
        <v>32</v>
      </c>
      <c r="G77" s="15" t="str">
        <f>VLOOKUP(F77,Data!$B$122:$C$135,2,FALSE)</f>
        <v>Acer</v>
      </c>
      <c r="H77" s="15">
        <f>VLOOKUP(F77,Data!$B$122:$D$135,3,FALSE)</f>
        <v>2024</v>
      </c>
      <c r="I77" s="15">
        <f ca="1">YEAR(TODAY()) - H77</f>
        <v>2</v>
      </c>
      <c r="J77" s="17"/>
      <c r="K77" s="11" t="s">
        <v>19</v>
      </c>
      <c r="L77" s="11"/>
      <c r="M77" s="108"/>
      <c r="N77" s="31" t="s">
        <v>222</v>
      </c>
    </row>
    <row r="78" spans="1:14">
      <c r="A78" s="5">
        <v>38</v>
      </c>
      <c r="B78" s="6" t="s">
        <v>224</v>
      </c>
      <c r="C78" s="6" t="s">
        <v>225</v>
      </c>
      <c r="D78" s="6" t="s">
        <v>160</v>
      </c>
      <c r="E78" s="6" t="s">
        <v>95</v>
      </c>
      <c r="F78" s="17" t="s">
        <v>107</v>
      </c>
      <c r="G78" s="15" t="str">
        <f>VLOOKUP(F78,Data!$B$122:$C$135,2,FALSE)</f>
        <v>Acer</v>
      </c>
      <c r="H78" s="15">
        <f>VLOOKUP(F78,Data!$B$122:$D$135,3,FALSE)</f>
        <v>2022</v>
      </c>
      <c r="I78" s="15">
        <f ca="1">YEAR(TODAY()) - H78</f>
        <v>4</v>
      </c>
      <c r="J78" s="17" t="s">
        <v>226</v>
      </c>
      <c r="K78" s="11" t="s">
        <v>109</v>
      </c>
      <c r="L78" s="11"/>
      <c r="M78" s="108"/>
      <c r="N78" s="31" t="s">
        <v>224</v>
      </c>
    </row>
    <row r="79" spans="1:14">
      <c r="A79" s="5">
        <v>39</v>
      </c>
      <c r="B79" s="6" t="s">
        <v>227</v>
      </c>
      <c r="C79" s="6" t="s">
        <v>228</v>
      </c>
      <c r="D79" s="6" t="s">
        <v>229</v>
      </c>
      <c r="E79" s="6" t="s">
        <v>230</v>
      </c>
      <c r="F79" s="17" t="s">
        <v>32</v>
      </c>
      <c r="G79" s="15" t="str">
        <f>VLOOKUP(F79,Data!$B$122:$C$135,2,FALSE)</f>
        <v>Acer</v>
      </c>
      <c r="H79" s="15">
        <f>VLOOKUP(F79,Data!$B$122:$D$135,3,FALSE)</f>
        <v>2024</v>
      </c>
      <c r="I79" s="15">
        <f t="shared" ca="1" si="5"/>
        <v>2</v>
      </c>
      <c r="J79" s="17" t="s">
        <v>231</v>
      </c>
      <c r="K79" s="11" t="s">
        <v>19</v>
      </c>
      <c r="L79" s="11" t="s">
        <v>232</v>
      </c>
      <c r="M79" s="108"/>
      <c r="N79" s="31"/>
    </row>
    <row r="80" spans="1:14">
      <c r="A80" s="5"/>
      <c r="B80" s="6"/>
      <c r="C80" s="6"/>
      <c r="D80" s="6" t="s">
        <v>229</v>
      </c>
      <c r="E80" s="6"/>
      <c r="F80" s="17" t="s">
        <v>32</v>
      </c>
      <c r="G80" s="15" t="str">
        <f>VLOOKUP(F80,Data!$B$122:$C$135,2,FALSE)</f>
        <v>Acer</v>
      </c>
      <c r="H80" s="15">
        <f>VLOOKUP(F80,Data!$B$122:$D$135,3,FALSE)</f>
        <v>2024</v>
      </c>
      <c r="I80" s="15">
        <f t="shared" ca="1" si="5"/>
        <v>2</v>
      </c>
      <c r="J80" s="17" t="s">
        <v>233</v>
      </c>
      <c r="K80" s="11" t="s">
        <v>19</v>
      </c>
      <c r="L80" s="11" t="s">
        <v>197</v>
      </c>
      <c r="M80" s="108"/>
      <c r="N80" s="31"/>
    </row>
    <row r="81" spans="1:14">
      <c r="A81" s="5"/>
      <c r="B81" s="6"/>
      <c r="C81" s="6"/>
      <c r="D81" s="6" t="s">
        <v>229</v>
      </c>
      <c r="E81" s="6"/>
      <c r="F81" s="17" t="s">
        <v>32</v>
      </c>
      <c r="G81" s="15" t="str">
        <f>VLOOKUP(F81,Data!$B$122:$C$135,2,FALSE)</f>
        <v>Acer</v>
      </c>
      <c r="H81" s="15">
        <f>VLOOKUP(F81,Data!$B$122:$D$135,3,FALSE)</f>
        <v>2024</v>
      </c>
      <c r="I81" s="15">
        <f t="shared" ca="1" si="5"/>
        <v>2</v>
      </c>
      <c r="J81" s="17" t="s">
        <v>234</v>
      </c>
      <c r="K81" s="11" t="s">
        <v>19</v>
      </c>
      <c r="L81" s="11" t="s">
        <v>235</v>
      </c>
      <c r="M81" s="108"/>
      <c r="N81" s="31"/>
    </row>
    <row r="82" spans="1:14">
      <c r="A82" s="5">
        <v>40</v>
      </c>
      <c r="B82" s="6" t="s">
        <v>236</v>
      </c>
      <c r="C82" s="6" t="s">
        <v>237</v>
      </c>
      <c r="D82" s="6" t="s">
        <v>229</v>
      </c>
      <c r="E82" s="6" t="s">
        <v>31</v>
      </c>
      <c r="F82" s="17" t="s">
        <v>32</v>
      </c>
      <c r="G82" s="15" t="str">
        <f>VLOOKUP(F82,Data!$B$122:$C$135,2,FALSE)</f>
        <v>Acer</v>
      </c>
      <c r="H82" s="15">
        <f>VLOOKUP(F82,Data!$B$122:$D$135,3,FALSE)</f>
        <v>2024</v>
      </c>
      <c r="I82" s="15">
        <f t="shared" ca="1" si="5"/>
        <v>2</v>
      </c>
      <c r="J82" s="17" t="s">
        <v>238</v>
      </c>
      <c r="K82" s="11" t="s">
        <v>19</v>
      </c>
      <c r="L82" s="11" t="s">
        <v>236</v>
      </c>
      <c r="M82" s="108"/>
      <c r="N82" s="31"/>
    </row>
    <row r="83" spans="1:14">
      <c r="A83" s="5">
        <v>41</v>
      </c>
      <c r="B83" s="6" t="s">
        <v>239</v>
      </c>
      <c r="C83" s="6" t="s">
        <v>240</v>
      </c>
      <c r="D83" s="6" t="s">
        <v>229</v>
      </c>
      <c r="E83" s="6" t="s">
        <v>31</v>
      </c>
      <c r="F83" s="17" t="s">
        <v>32</v>
      </c>
      <c r="G83" s="15" t="str">
        <f>VLOOKUP(F83,Data!$B$122:$C$135,2,FALSE)</f>
        <v>Acer</v>
      </c>
      <c r="H83" s="15">
        <f>VLOOKUP(F83,Data!$B$122:$D$135,3,FALSE)</f>
        <v>2024</v>
      </c>
      <c r="I83" s="15">
        <f t="shared" ca="1" si="5"/>
        <v>2</v>
      </c>
      <c r="J83" s="17" t="s">
        <v>65</v>
      </c>
      <c r="K83" s="11" t="s">
        <v>19</v>
      </c>
      <c r="L83" s="11" t="s">
        <v>239</v>
      </c>
      <c r="M83" s="108"/>
      <c r="N83" s="31"/>
    </row>
    <row r="84" spans="1:14">
      <c r="A84" s="5">
        <v>42</v>
      </c>
      <c r="B84" s="6" t="s">
        <v>241</v>
      </c>
      <c r="C84" s="6" t="s">
        <v>242</v>
      </c>
      <c r="D84" s="6" t="s">
        <v>229</v>
      </c>
      <c r="E84" s="6" t="s">
        <v>63</v>
      </c>
      <c r="F84" s="17" t="s">
        <v>17</v>
      </c>
      <c r="G84" s="15" t="str">
        <f>VLOOKUP(F84,Data!$B$122:$C$135,2,FALSE)</f>
        <v>Acer</v>
      </c>
      <c r="H84" s="15">
        <f>VLOOKUP(F84,Data!$B$122:$D$135,3,FALSE)</f>
        <v>2021</v>
      </c>
      <c r="I84" s="15">
        <f t="shared" ca="1" si="5"/>
        <v>5</v>
      </c>
      <c r="J84" s="17" t="s">
        <v>243</v>
      </c>
      <c r="K84" s="11" t="s">
        <v>19</v>
      </c>
      <c r="L84" s="11" t="s">
        <v>241</v>
      </c>
      <c r="M84" s="108"/>
      <c r="N84" s="31"/>
    </row>
    <row r="85" spans="1:14">
      <c r="A85" s="5">
        <v>43</v>
      </c>
      <c r="B85" s="6" t="s">
        <v>244</v>
      </c>
      <c r="C85" s="6" t="s">
        <v>245</v>
      </c>
      <c r="D85" s="6" t="s">
        <v>229</v>
      </c>
      <c r="E85" s="6" t="s">
        <v>63</v>
      </c>
      <c r="F85" s="17"/>
      <c r="G85" s="15" t="e">
        <f>VLOOKUP(F85,Data!$B$122:$C$135,2,FALSE)</f>
        <v>#N/A</v>
      </c>
      <c r="H85" s="15" t="e">
        <f>VLOOKUP(F85,Data!$B$122:$D$135,3,FALSE)</f>
        <v>#N/A</v>
      </c>
      <c r="I85" s="15" t="e">
        <f t="shared" ca="1" si="5"/>
        <v>#N/A</v>
      </c>
      <c r="J85" s="17"/>
      <c r="K85" s="11" t="s">
        <v>19</v>
      </c>
      <c r="L85" s="11"/>
      <c r="M85" s="108"/>
      <c r="N85" s="31"/>
    </row>
    <row r="86" spans="1:14">
      <c r="A86" s="5">
        <v>44</v>
      </c>
      <c r="B86" s="6" t="s">
        <v>246</v>
      </c>
      <c r="C86" s="6" t="s">
        <v>247</v>
      </c>
      <c r="D86" s="6" t="s">
        <v>229</v>
      </c>
      <c r="E86" s="6" t="s">
        <v>63</v>
      </c>
      <c r="F86" s="17" t="s">
        <v>32</v>
      </c>
      <c r="G86" s="15" t="str">
        <f>VLOOKUP(F86,Data!$B$122:$C$135,2,FALSE)</f>
        <v>Acer</v>
      </c>
      <c r="H86" s="15">
        <f>VLOOKUP(F86,Data!$B$122:$D$135,3,FALSE)</f>
        <v>2024</v>
      </c>
      <c r="I86" s="15">
        <f t="shared" ca="1" si="5"/>
        <v>2</v>
      </c>
      <c r="J86" s="17" t="s">
        <v>248</v>
      </c>
      <c r="K86" s="11" t="s">
        <v>19</v>
      </c>
      <c r="L86" s="11" t="s">
        <v>246</v>
      </c>
      <c r="M86" s="108"/>
      <c r="N86" s="31"/>
    </row>
    <row r="87" spans="1:14">
      <c r="A87" s="5">
        <v>45</v>
      </c>
      <c r="B87" s="6" t="s">
        <v>249</v>
      </c>
      <c r="C87" s="6" t="s">
        <v>250</v>
      </c>
      <c r="D87" s="6" t="s">
        <v>229</v>
      </c>
      <c r="E87" s="6" t="s">
        <v>63</v>
      </c>
      <c r="F87" s="17" t="s">
        <v>32</v>
      </c>
      <c r="G87" s="15" t="str">
        <f>VLOOKUP(F87,Data!$B$122:$C$135,2,FALSE)</f>
        <v>Acer</v>
      </c>
      <c r="H87" s="15">
        <f>VLOOKUP(F87,Data!$B$122:$D$135,3,FALSE)</f>
        <v>2024</v>
      </c>
      <c r="I87" s="15">
        <f t="shared" ca="1" si="5"/>
        <v>2</v>
      </c>
      <c r="J87" s="19" t="s">
        <v>251</v>
      </c>
      <c r="K87" s="11" t="s">
        <v>19</v>
      </c>
      <c r="L87" s="11" t="s">
        <v>249</v>
      </c>
      <c r="M87" s="108"/>
      <c r="N87" s="31"/>
    </row>
    <row r="88" spans="1:14">
      <c r="A88" s="5">
        <v>46</v>
      </c>
      <c r="B88" s="6" t="s">
        <v>252</v>
      </c>
      <c r="C88" s="6" t="s">
        <v>253</v>
      </c>
      <c r="D88" s="6" t="s">
        <v>229</v>
      </c>
      <c r="E88" s="6" t="s">
        <v>85</v>
      </c>
      <c r="F88" s="17" t="s">
        <v>39</v>
      </c>
      <c r="G88" s="15" t="str">
        <f>VLOOKUP(F88,Data!$B$122:$C$135,2,FALSE)</f>
        <v>Apple</v>
      </c>
      <c r="H88" s="15">
        <f>VLOOKUP(F88,Data!$B$122:$D$135,3,FALSE)</f>
        <v>2023</v>
      </c>
      <c r="I88" s="15">
        <f t="shared" ca="1" si="5"/>
        <v>3</v>
      </c>
      <c r="J88" s="17" t="s">
        <v>254</v>
      </c>
      <c r="K88" s="11" t="s">
        <v>19</v>
      </c>
      <c r="L88" s="11" t="s">
        <v>252</v>
      </c>
      <c r="M88" s="108"/>
      <c r="N88" s="31"/>
    </row>
    <row r="89" spans="1:14">
      <c r="A89" s="5">
        <v>47</v>
      </c>
      <c r="B89" s="6" t="s">
        <v>197</v>
      </c>
      <c r="C89" s="6" t="s">
        <v>255</v>
      </c>
      <c r="D89" s="6" t="s">
        <v>229</v>
      </c>
      <c r="E89" s="6" t="s">
        <v>85</v>
      </c>
      <c r="F89" s="17"/>
      <c r="G89" s="15" t="e">
        <f>VLOOKUP(F89,Data!$B$122:$C$135,2,FALSE)</f>
        <v>#N/A</v>
      </c>
      <c r="H89" s="15" t="e">
        <f>VLOOKUP(F89,Data!$B$122:$D$135,3,FALSE)</f>
        <v>#N/A</v>
      </c>
      <c r="I89" s="15" t="e">
        <f t="shared" ca="1" si="5"/>
        <v>#N/A</v>
      </c>
      <c r="J89" s="17"/>
      <c r="K89" s="11" t="s">
        <v>19</v>
      </c>
      <c r="L89" s="11"/>
      <c r="M89" s="108"/>
      <c r="N89" s="31"/>
    </row>
    <row r="90" spans="1:14">
      <c r="A90" s="5">
        <v>48</v>
      </c>
      <c r="B90" s="6" t="s">
        <v>256</v>
      </c>
      <c r="C90" s="6" t="s">
        <v>257</v>
      </c>
      <c r="D90" s="6" t="s">
        <v>258</v>
      </c>
      <c r="E90" s="6" t="s">
        <v>16</v>
      </c>
      <c r="F90" s="17" t="s">
        <v>32</v>
      </c>
      <c r="G90" s="15" t="str">
        <f>VLOOKUP(F90,Data!$B$122:$C$135,2,FALSE)</f>
        <v>Acer</v>
      </c>
      <c r="H90" s="15">
        <f>VLOOKUP(F90,Data!$B$122:$D$135,3,FALSE)</f>
        <v>2024</v>
      </c>
      <c r="I90" s="15">
        <f t="shared" ref="I90:I117" ca="1" si="6">YEAR(TODAY()) - H90</f>
        <v>2</v>
      </c>
      <c r="J90" s="17" t="s">
        <v>259</v>
      </c>
      <c r="K90" s="11" t="s">
        <v>19</v>
      </c>
      <c r="L90" s="11" t="s">
        <v>256</v>
      </c>
      <c r="M90" s="108"/>
      <c r="N90" s="31"/>
    </row>
    <row r="91" spans="1:14">
      <c r="A91" s="5"/>
      <c r="B91" s="6"/>
      <c r="C91" s="6"/>
      <c r="D91" s="6"/>
      <c r="E91" s="6"/>
      <c r="F91" s="17" t="s">
        <v>17</v>
      </c>
      <c r="G91" s="15" t="s">
        <v>156</v>
      </c>
      <c r="H91" s="15">
        <v>2021</v>
      </c>
      <c r="I91" s="15">
        <v>2</v>
      </c>
      <c r="J91" s="17" t="s">
        <v>260</v>
      </c>
      <c r="K91" s="11" t="s">
        <v>19</v>
      </c>
      <c r="L91" s="11" t="s">
        <v>256</v>
      </c>
      <c r="M91" s="108"/>
      <c r="N91" s="31"/>
    </row>
    <row r="92" spans="1:14">
      <c r="A92" s="5">
        <v>55</v>
      </c>
      <c r="B92" s="6" t="s">
        <v>261</v>
      </c>
      <c r="C92" s="6" t="s">
        <v>262</v>
      </c>
      <c r="D92" s="6" t="s">
        <v>258</v>
      </c>
      <c r="E92" s="6" t="s">
        <v>31</v>
      </c>
      <c r="F92" s="17" t="s">
        <v>32</v>
      </c>
      <c r="G92" s="15" t="str">
        <f>VLOOKUP(F92,Data!$B$122:$C$135,2,FALSE)</f>
        <v>Acer</v>
      </c>
      <c r="H92" s="15">
        <f>VLOOKUP(F92,Data!$B$122:$D$135,3,FALSE)</f>
        <v>2024</v>
      </c>
      <c r="I92" s="15">
        <f t="shared" ca="1" si="6"/>
        <v>2</v>
      </c>
      <c r="J92" s="17" t="s">
        <v>263</v>
      </c>
      <c r="K92" s="11" t="s">
        <v>19</v>
      </c>
      <c r="L92" s="11" t="s">
        <v>261</v>
      </c>
      <c r="M92" s="108"/>
      <c r="N92" s="31"/>
    </row>
    <row r="93" spans="1:14">
      <c r="A93" s="5">
        <v>56</v>
      </c>
      <c r="B93" s="6" t="s">
        <v>264</v>
      </c>
      <c r="C93" s="6" t="s">
        <v>265</v>
      </c>
      <c r="D93" s="6" t="s">
        <v>258</v>
      </c>
      <c r="E93" s="6" t="s">
        <v>53</v>
      </c>
      <c r="F93" s="17" t="s">
        <v>32</v>
      </c>
      <c r="G93" s="15" t="str">
        <f>VLOOKUP(F93,Data!$B$122:$C$135,2,FALSE)</f>
        <v>Acer</v>
      </c>
      <c r="H93" s="15">
        <f>VLOOKUP(F93,Data!$B$122:$D$135,3,FALSE)</f>
        <v>2024</v>
      </c>
      <c r="I93" s="15">
        <f t="shared" ca="1" si="6"/>
        <v>2</v>
      </c>
      <c r="J93" s="17" t="s">
        <v>266</v>
      </c>
      <c r="K93" s="11" t="s">
        <v>19</v>
      </c>
      <c r="L93" s="11" t="s">
        <v>264</v>
      </c>
      <c r="M93" s="108"/>
      <c r="N93" s="31"/>
    </row>
    <row r="94" spans="1:14">
      <c r="A94" s="5"/>
      <c r="B94" s="6"/>
      <c r="C94" s="6"/>
      <c r="D94" s="6" t="s">
        <v>258</v>
      </c>
      <c r="E94" s="6"/>
      <c r="F94" s="17" t="s">
        <v>17</v>
      </c>
      <c r="G94" s="15" t="str">
        <f>VLOOKUP(F94,Data!$B$122:$C$135,2,FALSE)</f>
        <v>Acer</v>
      </c>
      <c r="H94" s="15">
        <f>VLOOKUP(F94,Data!$B$122:$D$135,3,FALSE)</f>
        <v>2021</v>
      </c>
      <c r="I94" s="15">
        <f t="shared" ca="1" si="6"/>
        <v>5</v>
      </c>
      <c r="J94" s="17"/>
      <c r="K94" s="11" t="s">
        <v>19</v>
      </c>
      <c r="L94" s="11" t="s">
        <v>264</v>
      </c>
      <c r="M94" s="108"/>
      <c r="N94" s="31"/>
    </row>
    <row r="95" spans="1:14">
      <c r="A95" s="5">
        <v>57</v>
      </c>
      <c r="B95" s="6" t="s">
        <v>267</v>
      </c>
      <c r="C95" s="6" t="s">
        <v>268</v>
      </c>
      <c r="D95" s="6" t="s">
        <v>258</v>
      </c>
      <c r="E95" s="6" t="s">
        <v>53</v>
      </c>
      <c r="F95" s="17" t="s">
        <v>32</v>
      </c>
      <c r="G95" s="15" t="str">
        <f>VLOOKUP(F95,Data!$B$122:$C$135,2,FALSE)</f>
        <v>Acer</v>
      </c>
      <c r="H95" s="15">
        <f>VLOOKUP(F95,Data!$B$122:$D$135,3,FALSE)</f>
        <v>2024</v>
      </c>
      <c r="I95" s="15">
        <f t="shared" ca="1" si="6"/>
        <v>2</v>
      </c>
      <c r="J95" s="17" t="s">
        <v>269</v>
      </c>
      <c r="K95" s="11" t="s">
        <v>19</v>
      </c>
      <c r="L95" s="11" t="s">
        <v>267</v>
      </c>
      <c r="M95" s="108"/>
      <c r="N95" s="31" t="s">
        <v>270</v>
      </c>
    </row>
    <row r="96" spans="1:14">
      <c r="A96" s="5"/>
      <c r="B96" s="6"/>
      <c r="C96" s="6"/>
      <c r="D96" s="6" t="s">
        <v>258</v>
      </c>
      <c r="E96" s="6"/>
      <c r="F96" s="17" t="s">
        <v>78</v>
      </c>
      <c r="G96" s="15" t="str">
        <f>VLOOKUP(F96,Data!$B$122:$C$135,2,FALSE)</f>
        <v>Apple</v>
      </c>
      <c r="H96" s="15">
        <f>VLOOKUP(F96,Data!$B$122:$D$135,3,FALSE)</f>
        <v>2022</v>
      </c>
      <c r="I96" s="15">
        <f t="shared" ca="1" si="6"/>
        <v>4</v>
      </c>
      <c r="J96" s="17" t="s">
        <v>271</v>
      </c>
      <c r="K96" s="11" t="s">
        <v>19</v>
      </c>
      <c r="L96" s="11" t="s">
        <v>267</v>
      </c>
      <c r="M96" s="108"/>
      <c r="N96" s="31"/>
    </row>
    <row r="97" spans="1:14">
      <c r="A97" s="5">
        <v>59</v>
      </c>
      <c r="B97" s="6" t="s">
        <v>272</v>
      </c>
      <c r="C97" s="6" t="s">
        <v>273</v>
      </c>
      <c r="D97" s="6" t="s">
        <v>258</v>
      </c>
      <c r="E97" s="6" t="s">
        <v>63</v>
      </c>
      <c r="F97" s="17" t="s">
        <v>32</v>
      </c>
      <c r="G97" s="15" t="str">
        <f>VLOOKUP(F97,Data!$B$122:$C$135,2,FALSE)</f>
        <v>Acer</v>
      </c>
      <c r="H97" s="15">
        <f>VLOOKUP(F97,Data!$B$122:$D$135,3,FALSE)</f>
        <v>2024</v>
      </c>
      <c r="I97" s="15">
        <f t="shared" ca="1" si="6"/>
        <v>2</v>
      </c>
      <c r="J97" s="17" t="s">
        <v>274</v>
      </c>
      <c r="K97" s="11" t="s">
        <v>19</v>
      </c>
      <c r="L97" s="11" t="s">
        <v>272</v>
      </c>
      <c r="M97" s="108"/>
      <c r="N97" s="31"/>
    </row>
    <row r="98" spans="1:14">
      <c r="A98" s="5"/>
      <c r="B98" s="6"/>
      <c r="C98" s="6"/>
      <c r="D98" s="6" t="s">
        <v>258</v>
      </c>
      <c r="E98" s="6"/>
      <c r="F98" s="17" t="s">
        <v>17</v>
      </c>
      <c r="G98" s="15" t="str">
        <f>VLOOKUP(F98,Data!$B$122:$C$135,2,FALSE)</f>
        <v>Acer</v>
      </c>
      <c r="H98" s="15">
        <f>VLOOKUP(F98,Data!$B$122:$D$135,3,FALSE)</f>
        <v>2021</v>
      </c>
      <c r="I98" s="15">
        <f t="shared" ca="1" si="6"/>
        <v>5</v>
      </c>
      <c r="J98" s="17" t="s">
        <v>275</v>
      </c>
      <c r="K98" s="11" t="s">
        <v>19</v>
      </c>
      <c r="L98" s="11" t="s">
        <v>272</v>
      </c>
      <c r="M98" s="108"/>
      <c r="N98" s="31" t="s">
        <v>276</v>
      </c>
    </row>
    <row r="99" spans="1:14">
      <c r="A99" s="5">
        <v>60</v>
      </c>
      <c r="B99" s="6" t="s">
        <v>277</v>
      </c>
      <c r="C99" s="6" t="s">
        <v>278</v>
      </c>
      <c r="D99" s="6" t="s">
        <v>258</v>
      </c>
      <c r="E99" s="6" t="s">
        <v>63</v>
      </c>
      <c r="F99" s="17" t="s">
        <v>32</v>
      </c>
      <c r="G99" s="15" t="str">
        <f>VLOOKUP(F99,Data!$B$122:$C$135,2,FALSE)</f>
        <v>Acer</v>
      </c>
      <c r="H99" s="15">
        <f>VLOOKUP(F99,Data!$B$122:$D$135,3,FALSE)</f>
        <v>2024</v>
      </c>
      <c r="I99" s="15">
        <f t="shared" ca="1" si="6"/>
        <v>2</v>
      </c>
      <c r="J99" s="17" t="s">
        <v>279</v>
      </c>
      <c r="K99" s="11" t="s">
        <v>19</v>
      </c>
      <c r="L99" s="11" t="s">
        <v>277</v>
      </c>
      <c r="M99" s="108"/>
      <c r="N99" s="31"/>
    </row>
    <row r="100" spans="1:14">
      <c r="A100" s="5">
        <v>61</v>
      </c>
      <c r="B100" s="6" t="s">
        <v>280</v>
      </c>
      <c r="C100" s="6" t="s">
        <v>281</v>
      </c>
      <c r="D100" s="6" t="s">
        <v>258</v>
      </c>
      <c r="E100" s="6" t="s">
        <v>63</v>
      </c>
      <c r="F100" s="17" t="s">
        <v>32</v>
      </c>
      <c r="G100" s="15" t="str">
        <f>VLOOKUP(F100,Data!$B$122:$C$135,2,FALSE)</f>
        <v>Acer</v>
      </c>
      <c r="H100" s="15">
        <f>VLOOKUP(F100,Data!$B$122:$D$135,3,FALSE)</f>
        <v>2024</v>
      </c>
      <c r="I100" s="15">
        <f t="shared" ca="1" si="6"/>
        <v>2</v>
      </c>
      <c r="J100" s="17" t="s">
        <v>282</v>
      </c>
      <c r="K100" s="11" t="s">
        <v>19</v>
      </c>
      <c r="L100" s="11" t="s">
        <v>280</v>
      </c>
      <c r="M100" s="108"/>
      <c r="N100" s="31"/>
    </row>
    <row r="101" spans="1:14">
      <c r="A101" s="5">
        <v>62</v>
      </c>
      <c r="B101" s="6" t="s">
        <v>283</v>
      </c>
      <c r="C101" s="6" t="s">
        <v>284</v>
      </c>
      <c r="D101" s="6" t="s">
        <v>258</v>
      </c>
      <c r="E101" s="6" t="s">
        <v>85</v>
      </c>
      <c r="F101" s="17" t="s">
        <v>32</v>
      </c>
      <c r="G101" s="15" t="str">
        <f>VLOOKUP(F101,Data!$B$122:$C$135,2,FALSE)</f>
        <v>Acer</v>
      </c>
      <c r="H101" s="15">
        <f>VLOOKUP(F101,Data!$B$122:$D$135,3,FALSE)</f>
        <v>2024</v>
      </c>
      <c r="I101" s="15">
        <f t="shared" ca="1" si="6"/>
        <v>2</v>
      </c>
      <c r="J101" s="17" t="s">
        <v>285</v>
      </c>
      <c r="K101" s="11" t="s">
        <v>19</v>
      </c>
      <c r="L101" s="11" t="s">
        <v>283</v>
      </c>
      <c r="M101" s="108"/>
      <c r="N101" s="31"/>
    </row>
    <row r="102" spans="1:14">
      <c r="A102" s="5">
        <v>63</v>
      </c>
      <c r="B102" s="6" t="s">
        <v>286</v>
      </c>
      <c r="C102" s="6" t="s">
        <v>287</v>
      </c>
      <c r="D102" s="6" t="s">
        <v>258</v>
      </c>
      <c r="E102" s="6" t="s">
        <v>85</v>
      </c>
      <c r="F102" s="17" t="s">
        <v>32</v>
      </c>
      <c r="G102" s="15" t="str">
        <f>VLOOKUP(F102,Data!$B$122:$C$135,2,FALSE)</f>
        <v>Acer</v>
      </c>
      <c r="H102" s="15">
        <f>VLOOKUP(F102,Data!$B$122:$D$135,3,FALSE)</f>
        <v>2024</v>
      </c>
      <c r="I102" s="15">
        <f t="shared" ca="1" si="6"/>
        <v>2</v>
      </c>
      <c r="J102" s="17" t="s">
        <v>288</v>
      </c>
      <c r="K102" s="11" t="s">
        <v>19</v>
      </c>
      <c r="L102" s="11" t="s">
        <v>286</v>
      </c>
      <c r="M102" s="108"/>
      <c r="N102" s="31"/>
    </row>
    <row r="103" spans="1:14">
      <c r="A103" s="5">
        <v>64</v>
      </c>
      <c r="B103" s="6" t="s">
        <v>289</v>
      </c>
      <c r="C103" s="6" t="s">
        <v>290</v>
      </c>
      <c r="D103" s="6" t="s">
        <v>258</v>
      </c>
      <c r="E103" s="6" t="s">
        <v>85</v>
      </c>
      <c r="F103" s="17" t="s">
        <v>32</v>
      </c>
      <c r="G103" s="15" t="str">
        <f>VLOOKUP(F103,Data!$B$122:$C$135,2,FALSE)</f>
        <v>Acer</v>
      </c>
      <c r="H103" s="15">
        <f>VLOOKUP(F103,Data!$B$122:$D$135,3,FALSE)</f>
        <v>2024</v>
      </c>
      <c r="I103" s="15">
        <f t="shared" ca="1" si="6"/>
        <v>2</v>
      </c>
      <c r="J103" s="17" t="s">
        <v>291</v>
      </c>
      <c r="K103" s="11" t="s">
        <v>19</v>
      </c>
      <c r="L103" s="11" t="s">
        <v>289</v>
      </c>
      <c r="M103" s="108"/>
      <c r="N103" s="31"/>
    </row>
    <row r="104" spans="1:14">
      <c r="A104" s="5">
        <v>65</v>
      </c>
      <c r="B104" s="6" t="s">
        <v>292</v>
      </c>
      <c r="C104" s="6" t="s">
        <v>293</v>
      </c>
      <c r="D104" s="6" t="s">
        <v>258</v>
      </c>
      <c r="E104" s="6" t="s">
        <v>85</v>
      </c>
      <c r="F104" s="85" t="s">
        <v>25</v>
      </c>
      <c r="G104" s="86" t="str">
        <f>VLOOKUP(F104,Data!$B$122:$C$135,2,FALSE)</f>
        <v>Asus</v>
      </c>
      <c r="H104" s="86">
        <f>VLOOKUP(F104,Data!$B$122:$D$135,3,FALSE)</f>
        <v>2020</v>
      </c>
      <c r="I104" s="86">
        <f t="shared" ref="I104" ca="1" si="7">YEAR(TODAY()) - H104</f>
        <v>6</v>
      </c>
      <c r="J104" s="85" t="s">
        <v>294</v>
      </c>
      <c r="K104" s="87" t="s">
        <v>19</v>
      </c>
      <c r="L104" s="87" t="s">
        <v>292</v>
      </c>
      <c r="M104" s="110"/>
      <c r="N104" s="31" t="s">
        <v>295</v>
      </c>
    </row>
    <row r="105" spans="1:14">
      <c r="A105" s="5">
        <v>66</v>
      </c>
      <c r="B105" s="6" t="s">
        <v>296</v>
      </c>
      <c r="C105" s="6" t="s">
        <v>297</v>
      </c>
      <c r="D105" s="6" t="s">
        <v>298</v>
      </c>
      <c r="E105" s="6" t="s">
        <v>16</v>
      </c>
      <c r="F105" s="17" t="s">
        <v>299</v>
      </c>
      <c r="G105" s="15" t="str">
        <f>VLOOKUP(F105,Data!$B$122:$C$135,2,FALSE)</f>
        <v>Apple</v>
      </c>
      <c r="H105" s="15">
        <f>VLOOKUP(F105,Data!$B$122:$D$135,3,FALSE)</f>
        <v>2023</v>
      </c>
      <c r="I105" s="15">
        <f t="shared" ca="1" si="6"/>
        <v>3</v>
      </c>
      <c r="J105" s="17" t="s">
        <v>300</v>
      </c>
      <c r="K105" s="11" t="s">
        <v>19</v>
      </c>
      <c r="L105" s="11" t="s">
        <v>296</v>
      </c>
      <c r="M105" s="108"/>
      <c r="N105" s="31"/>
    </row>
    <row r="106" spans="1:14">
      <c r="A106" s="5"/>
      <c r="B106" s="6"/>
      <c r="C106" s="6"/>
      <c r="D106" s="6" t="s">
        <v>298</v>
      </c>
      <c r="E106" s="6"/>
      <c r="F106" s="17" t="s">
        <v>78</v>
      </c>
      <c r="G106" s="15" t="str">
        <f>VLOOKUP(F106,Data!$B$122:$C$135,2,FALSE)</f>
        <v>Apple</v>
      </c>
      <c r="H106" s="15">
        <f>VLOOKUP(F106,Data!$B$122:$D$135,3,FALSE)</f>
        <v>2022</v>
      </c>
      <c r="I106" s="15">
        <f t="shared" ca="1" si="6"/>
        <v>4</v>
      </c>
      <c r="J106" s="17" t="s">
        <v>372</v>
      </c>
      <c r="K106" s="11" t="s">
        <v>19</v>
      </c>
      <c r="L106" s="11" t="s">
        <v>296</v>
      </c>
      <c r="M106" s="108"/>
      <c r="N106" s="31"/>
    </row>
    <row r="107" spans="1:14">
      <c r="A107" s="5"/>
      <c r="B107" s="6"/>
      <c r="C107" s="6"/>
      <c r="D107" s="6" t="s">
        <v>298</v>
      </c>
      <c r="E107" s="6"/>
      <c r="F107" s="17" t="s">
        <v>78</v>
      </c>
      <c r="G107" s="15" t="str">
        <f>VLOOKUP(F107,Data!$B$122:$C$135,2,FALSE)</f>
        <v>Apple</v>
      </c>
      <c r="H107" s="15">
        <f>VLOOKUP(F107,Data!$B$122:$D$135,3,FALSE)</f>
        <v>2022</v>
      </c>
      <c r="I107" s="15">
        <f t="shared" ca="1" si="6"/>
        <v>4</v>
      </c>
      <c r="J107" s="17" t="s">
        <v>301</v>
      </c>
      <c r="K107" s="11" t="s">
        <v>19</v>
      </c>
      <c r="L107" s="11" t="s">
        <v>296</v>
      </c>
      <c r="M107" s="108"/>
      <c r="N107" s="31"/>
    </row>
    <row r="108" spans="1:14">
      <c r="A108" s="5">
        <v>67</v>
      </c>
      <c r="B108" s="6" t="s">
        <v>302</v>
      </c>
      <c r="C108" s="6" t="s">
        <v>303</v>
      </c>
      <c r="D108" s="6" t="s">
        <v>298</v>
      </c>
      <c r="E108" s="6" t="s">
        <v>31</v>
      </c>
      <c r="F108" s="17" t="s">
        <v>299</v>
      </c>
      <c r="G108" s="15" t="str">
        <f>VLOOKUP(F108,Data!$B$122:$C$135,2,FALSE)</f>
        <v>Apple</v>
      </c>
      <c r="H108" s="15">
        <f>VLOOKUP(F108,Data!$B$122:$D$135,3,FALSE)</f>
        <v>2023</v>
      </c>
      <c r="I108" s="15">
        <f t="shared" ca="1" si="6"/>
        <v>3</v>
      </c>
      <c r="J108" s="17" t="s">
        <v>304</v>
      </c>
      <c r="K108" s="11" t="s">
        <v>19</v>
      </c>
      <c r="L108" s="11" t="s">
        <v>302</v>
      </c>
      <c r="M108" s="108"/>
      <c r="N108" s="31"/>
    </row>
    <row r="109" spans="1:14">
      <c r="A109" s="5"/>
      <c r="B109" s="6"/>
      <c r="C109" s="6"/>
      <c r="D109" s="6" t="s">
        <v>298</v>
      </c>
      <c r="E109" s="6"/>
      <c r="F109" s="17" t="s">
        <v>78</v>
      </c>
      <c r="G109" s="15" t="str">
        <f>VLOOKUP(F109,Data!$B$122:$C$135,2,FALSE)</f>
        <v>Apple</v>
      </c>
      <c r="H109" s="15">
        <f>VLOOKUP(F109,Data!$B$122:$D$135,3,FALSE)</f>
        <v>2022</v>
      </c>
      <c r="I109" s="15">
        <f t="shared" ca="1" si="6"/>
        <v>4</v>
      </c>
      <c r="J109" s="17" t="s">
        <v>305</v>
      </c>
      <c r="K109" s="11" t="s">
        <v>19</v>
      </c>
      <c r="L109" s="11" t="s">
        <v>302</v>
      </c>
      <c r="M109" s="108"/>
      <c r="N109" s="31"/>
    </row>
    <row r="110" spans="1:14">
      <c r="A110" s="5"/>
      <c r="B110" s="6"/>
      <c r="C110" s="6"/>
      <c r="D110" s="6" t="s">
        <v>298</v>
      </c>
      <c r="E110" s="6"/>
      <c r="F110" s="17" t="s">
        <v>17</v>
      </c>
      <c r="G110" s="15" t="str">
        <f>VLOOKUP(F110,Data!$B$122:$C$135,2,FALSE)</f>
        <v>Acer</v>
      </c>
      <c r="H110" s="15">
        <f>VLOOKUP(F110,Data!$B$122:$D$135,3,FALSE)</f>
        <v>2021</v>
      </c>
      <c r="I110" s="15">
        <f t="shared" ca="1" si="6"/>
        <v>5</v>
      </c>
      <c r="J110" s="17" t="s">
        <v>390</v>
      </c>
      <c r="K110" s="11" t="s">
        <v>19</v>
      </c>
      <c r="L110" s="11" t="s">
        <v>302</v>
      </c>
      <c r="M110" s="108" t="s">
        <v>111</v>
      </c>
      <c r="N110" s="31"/>
    </row>
    <row r="111" spans="1:14">
      <c r="A111" s="5">
        <v>68</v>
      </c>
      <c r="B111" s="6" t="s">
        <v>307</v>
      </c>
      <c r="C111" s="6" t="s">
        <v>308</v>
      </c>
      <c r="D111" s="6" t="s">
        <v>298</v>
      </c>
      <c r="E111" s="6" t="s">
        <v>31</v>
      </c>
      <c r="F111" s="17" t="s">
        <v>20</v>
      </c>
      <c r="G111" s="15" t="str">
        <f>VLOOKUP(F111,Data!$B$122:$C$135,2,FALSE)</f>
        <v>Apple</v>
      </c>
      <c r="H111" s="15">
        <f>VLOOKUP(F111,Data!$B$122:$D$135,3,FALSE)</f>
        <v>2023</v>
      </c>
      <c r="I111" s="15">
        <f t="shared" ca="1" si="6"/>
        <v>3</v>
      </c>
      <c r="J111" s="17" t="s">
        <v>309</v>
      </c>
      <c r="K111" s="11" t="s">
        <v>19</v>
      </c>
      <c r="L111" s="11" t="s">
        <v>307</v>
      </c>
      <c r="M111" s="108"/>
      <c r="N111" s="31"/>
    </row>
    <row r="112" spans="1:14">
      <c r="A112" s="5">
        <v>69</v>
      </c>
      <c r="B112" s="6" t="s">
        <v>315</v>
      </c>
      <c r="C112" s="6" t="s">
        <v>316</v>
      </c>
      <c r="D112" s="6" t="s">
        <v>298</v>
      </c>
      <c r="E112" s="6" t="s">
        <v>53</v>
      </c>
      <c r="F112" s="17" t="s">
        <v>20</v>
      </c>
      <c r="G112" s="15" t="str">
        <f>VLOOKUP(F112,Data!$B$122:$C$135,2,FALSE)</f>
        <v>Apple</v>
      </c>
      <c r="H112" s="15">
        <f>VLOOKUP(F112,Data!$B$122:$D$135,3,FALSE)</f>
        <v>2023</v>
      </c>
      <c r="I112" s="15">
        <f t="shared" ca="1" si="6"/>
        <v>3</v>
      </c>
      <c r="J112" s="17" t="s">
        <v>317</v>
      </c>
      <c r="K112" s="11" t="s">
        <v>19</v>
      </c>
      <c r="L112" s="11" t="s">
        <v>315</v>
      </c>
      <c r="M112" s="108"/>
      <c r="N112" s="31"/>
    </row>
    <row r="113" spans="1:14">
      <c r="A113" s="5">
        <v>70</v>
      </c>
      <c r="B113" s="6" t="s">
        <v>318</v>
      </c>
      <c r="C113" s="6" t="s">
        <v>319</v>
      </c>
      <c r="D113" s="6" t="s">
        <v>298</v>
      </c>
      <c r="E113" s="6" t="s">
        <v>53</v>
      </c>
      <c r="F113" s="17" t="s">
        <v>20</v>
      </c>
      <c r="G113" s="15" t="str">
        <f>VLOOKUP(F113,Data!$B$122:$C$135,2,FALSE)</f>
        <v>Apple</v>
      </c>
      <c r="H113" s="15">
        <f>VLOOKUP(F113,Data!$B$122:$D$135,3,FALSE)</f>
        <v>2023</v>
      </c>
      <c r="I113" s="15">
        <f t="shared" ca="1" si="6"/>
        <v>3</v>
      </c>
      <c r="J113" s="17" t="s">
        <v>320</v>
      </c>
      <c r="K113" s="11" t="s">
        <v>19</v>
      </c>
      <c r="L113" s="11" t="s">
        <v>318</v>
      </c>
      <c r="M113" s="108"/>
      <c r="N113" s="31"/>
    </row>
    <row r="114" spans="1:14">
      <c r="A114" s="5">
        <v>71</v>
      </c>
      <c r="B114" s="6" t="s">
        <v>310</v>
      </c>
      <c r="C114" s="6" t="s">
        <v>311</v>
      </c>
      <c r="D114" s="6" t="s">
        <v>298</v>
      </c>
      <c r="E114" s="6" t="s">
        <v>53</v>
      </c>
      <c r="F114" s="17" t="s">
        <v>299</v>
      </c>
      <c r="G114" s="15" t="str">
        <f>VLOOKUP(F114,Data!$B$122:$C$135,2,FALSE)</f>
        <v>Apple</v>
      </c>
      <c r="H114" s="15">
        <f>VLOOKUP(F114,Data!$B$122:$D$135,3,FALSE)</f>
        <v>2023</v>
      </c>
      <c r="I114" s="15">
        <f t="shared" ca="1" si="6"/>
        <v>3</v>
      </c>
      <c r="J114" s="17" t="s">
        <v>312</v>
      </c>
      <c r="K114" s="11" t="s">
        <v>19</v>
      </c>
      <c r="L114" s="11" t="s">
        <v>310</v>
      </c>
      <c r="M114" s="108"/>
      <c r="N114" s="31"/>
    </row>
    <row r="115" spans="1:14">
      <c r="A115" s="5"/>
      <c r="B115" s="6"/>
      <c r="C115" s="6"/>
      <c r="D115" s="6" t="s">
        <v>298</v>
      </c>
      <c r="E115" s="6"/>
      <c r="F115" s="17" t="s">
        <v>78</v>
      </c>
      <c r="G115" s="15" t="str">
        <f>VLOOKUP(F115,Data!$B$122:$C$135,2,FALSE)</f>
        <v>Apple</v>
      </c>
      <c r="H115" s="15">
        <f>VLOOKUP(F115,Data!$B$122:$D$135,3,FALSE)</f>
        <v>2022</v>
      </c>
      <c r="I115" s="15">
        <f t="shared" ca="1" si="6"/>
        <v>4</v>
      </c>
      <c r="J115" s="24" t="s">
        <v>391</v>
      </c>
      <c r="K115" s="11" t="s">
        <v>19</v>
      </c>
      <c r="L115" s="11" t="s">
        <v>310</v>
      </c>
      <c r="M115" s="108"/>
      <c r="N115" s="31"/>
    </row>
    <row r="116" spans="1:14">
      <c r="A116" s="5"/>
      <c r="B116" s="6"/>
      <c r="C116" s="6"/>
      <c r="D116" s="6" t="s">
        <v>298</v>
      </c>
      <c r="E116" s="6"/>
      <c r="F116" s="17" t="s">
        <v>299</v>
      </c>
      <c r="G116" s="15" t="str">
        <f>VLOOKUP(F116,Data!$B$122:$C$135,2,FALSE)</f>
        <v>Apple</v>
      </c>
      <c r="H116" s="15">
        <f>VLOOKUP(F116,Data!$B$122:$D$135,3,FALSE)</f>
        <v>2023</v>
      </c>
      <c r="I116" s="15">
        <f t="shared" ca="1" si="6"/>
        <v>3</v>
      </c>
      <c r="J116" s="25" t="s">
        <v>313</v>
      </c>
      <c r="K116" s="11" t="s">
        <v>19</v>
      </c>
      <c r="L116" s="11" t="s">
        <v>354</v>
      </c>
      <c r="M116" s="108"/>
      <c r="N116" s="31"/>
    </row>
    <row r="117" spans="1:14">
      <c r="A117" s="5"/>
      <c r="B117" s="6"/>
      <c r="C117" s="6"/>
      <c r="D117" s="6" t="s">
        <v>298</v>
      </c>
      <c r="E117" s="6"/>
      <c r="F117" s="17" t="s">
        <v>299</v>
      </c>
      <c r="G117" s="15" t="str">
        <f>VLOOKUP(F117,Data!$B$122:$C$135,2,FALSE)</f>
        <v>Apple</v>
      </c>
      <c r="H117" s="15">
        <f>VLOOKUP(F117,Data!$B$122:$D$135,3,FALSE)</f>
        <v>2023</v>
      </c>
      <c r="I117" s="15">
        <f t="shared" ca="1" si="6"/>
        <v>3</v>
      </c>
      <c r="J117" s="24" t="s">
        <v>392</v>
      </c>
      <c r="K117" s="11" t="s">
        <v>19</v>
      </c>
      <c r="L117" s="11" t="s">
        <v>310</v>
      </c>
      <c r="M117" s="108"/>
      <c r="N117" s="31"/>
    </row>
    <row r="118" spans="1:14">
      <c r="A118" s="5"/>
      <c r="B118" s="6"/>
      <c r="C118" s="6"/>
      <c r="D118" s="6" t="s">
        <v>298</v>
      </c>
      <c r="E118" s="6"/>
      <c r="F118" s="17" t="s">
        <v>299</v>
      </c>
      <c r="G118" s="15" t="str">
        <f>VLOOKUP(F118,Data!$B$122:$C$135,2,FALSE)</f>
        <v>Apple</v>
      </c>
      <c r="H118" s="15">
        <f>VLOOKUP(F118,Data!$B$122:$D$135,3,FALSE)</f>
        <v>2023</v>
      </c>
      <c r="I118" s="15">
        <f t="shared" ref="I118:I149" ca="1" si="8">YEAR(TODAY()) - H118</f>
        <v>3</v>
      </c>
      <c r="J118" s="26" t="s">
        <v>338</v>
      </c>
      <c r="K118" s="11" t="s">
        <v>19</v>
      </c>
      <c r="L118" s="11" t="s">
        <v>310</v>
      </c>
      <c r="M118" s="108"/>
      <c r="N118" s="31" t="s">
        <v>393</v>
      </c>
    </row>
    <row r="119" spans="1:14">
      <c r="A119" s="5"/>
      <c r="B119" s="6"/>
      <c r="C119" s="6"/>
      <c r="D119" s="6" t="s">
        <v>298</v>
      </c>
      <c r="E119" s="6"/>
      <c r="F119" s="17" t="s">
        <v>299</v>
      </c>
      <c r="G119" s="15" t="str">
        <f>VLOOKUP(F119,Data!$B$122:$C$135,2,FALSE)</f>
        <v>Apple</v>
      </c>
      <c r="H119" s="15">
        <f>VLOOKUP(F119,Data!$B$122:$D$135,3,FALSE)</f>
        <v>2023</v>
      </c>
      <c r="I119" s="15">
        <f t="shared" ca="1" si="8"/>
        <v>3</v>
      </c>
      <c r="J119" s="26" t="s">
        <v>394</v>
      </c>
      <c r="K119" s="11" t="s">
        <v>19</v>
      </c>
      <c r="L119" s="11" t="s">
        <v>310</v>
      </c>
      <c r="M119" s="108"/>
      <c r="N119" s="31"/>
    </row>
    <row r="120" spans="1:14">
      <c r="A120" s="5"/>
      <c r="B120" s="6"/>
      <c r="C120" s="6"/>
      <c r="D120" s="6" t="s">
        <v>298</v>
      </c>
      <c r="E120" s="6"/>
      <c r="F120" s="17" t="s">
        <v>299</v>
      </c>
      <c r="G120" s="15" t="str">
        <f>VLOOKUP(F120,Data!$B$122:$C$135,2,FALSE)</f>
        <v>Apple</v>
      </c>
      <c r="H120" s="15">
        <f>VLOOKUP(F120,Data!$B$122:$D$135,3,FALSE)</f>
        <v>2023</v>
      </c>
      <c r="I120" s="15">
        <f t="shared" ca="1" si="8"/>
        <v>3</v>
      </c>
      <c r="J120" s="26" t="s">
        <v>364</v>
      </c>
      <c r="K120" s="11" t="s">
        <v>19</v>
      </c>
      <c r="L120" s="11" t="s">
        <v>310</v>
      </c>
      <c r="M120" s="108"/>
      <c r="N120" s="31"/>
    </row>
    <row r="121" spans="1:14">
      <c r="A121" s="5"/>
      <c r="B121" s="6"/>
      <c r="C121" s="6"/>
      <c r="D121" s="6" t="s">
        <v>298</v>
      </c>
      <c r="E121" s="6"/>
      <c r="F121" s="17" t="s">
        <v>299</v>
      </c>
      <c r="G121" s="15" t="str">
        <f>VLOOKUP(F121,Data!$B$122:$C$135,2,FALSE)</f>
        <v>Apple</v>
      </c>
      <c r="H121" s="15">
        <f>VLOOKUP(F121,Data!$B$122:$D$135,3,FALSE)</f>
        <v>2023</v>
      </c>
      <c r="I121" s="15">
        <f t="shared" ca="1" si="8"/>
        <v>3</v>
      </c>
      <c r="J121" s="26" t="s">
        <v>356</v>
      </c>
      <c r="K121" s="11" t="s">
        <v>19</v>
      </c>
      <c r="L121" s="11" t="s">
        <v>310</v>
      </c>
      <c r="M121" s="108"/>
      <c r="N121" s="31"/>
    </row>
    <row r="122" spans="1:14">
      <c r="A122" s="5"/>
      <c r="B122" s="6"/>
      <c r="C122" s="6"/>
      <c r="D122" s="6" t="s">
        <v>298</v>
      </c>
      <c r="E122" s="6"/>
      <c r="F122" s="17" t="s">
        <v>299</v>
      </c>
      <c r="G122" s="15" t="str">
        <f>VLOOKUP(F122,Data!$B$122:$C$135,2,FALSE)</f>
        <v>Apple</v>
      </c>
      <c r="H122" s="15">
        <f>VLOOKUP(F122,Data!$B$122:$D$135,3,FALSE)</f>
        <v>2023</v>
      </c>
      <c r="I122" s="15">
        <f t="shared" ca="1" si="8"/>
        <v>3</v>
      </c>
      <c r="J122" s="26" t="s">
        <v>395</v>
      </c>
      <c r="K122" s="11" t="s">
        <v>19</v>
      </c>
      <c r="L122" s="11" t="s">
        <v>310</v>
      </c>
      <c r="M122" s="108"/>
      <c r="N122" s="31"/>
    </row>
    <row r="123" spans="1:14">
      <c r="A123" s="5">
        <v>72</v>
      </c>
      <c r="B123" s="6" t="s">
        <v>325</v>
      </c>
      <c r="C123" s="6" t="s">
        <v>326</v>
      </c>
      <c r="D123" s="6" t="s">
        <v>298</v>
      </c>
      <c r="E123" s="6" t="s">
        <v>53</v>
      </c>
      <c r="F123" s="17" t="s">
        <v>299</v>
      </c>
      <c r="G123" s="15" t="str">
        <f>VLOOKUP(F123,Data!$B$122:$C$135,2,FALSE)</f>
        <v>Apple</v>
      </c>
      <c r="H123" s="15">
        <f>VLOOKUP(F123,Data!$B$122:$D$135,3,FALSE)</f>
        <v>2023</v>
      </c>
      <c r="I123" s="15">
        <f t="shared" ca="1" si="8"/>
        <v>3</v>
      </c>
      <c r="J123" s="24" t="s">
        <v>327</v>
      </c>
      <c r="K123" s="11" t="s">
        <v>19</v>
      </c>
      <c r="L123" s="11" t="s">
        <v>325</v>
      </c>
      <c r="M123" s="108"/>
      <c r="N123" s="31"/>
    </row>
    <row r="124" spans="1:14">
      <c r="A124" s="5"/>
      <c r="B124" s="6"/>
      <c r="C124" s="6"/>
      <c r="D124" s="6" t="s">
        <v>298</v>
      </c>
      <c r="E124" s="6"/>
      <c r="F124" s="17" t="s">
        <v>78</v>
      </c>
      <c r="G124" s="15" t="str">
        <f>VLOOKUP(F124,Data!$B$122:$C$135,2,FALSE)</f>
        <v>Apple</v>
      </c>
      <c r="H124" s="15">
        <f>VLOOKUP(F124,Data!$B$122:$D$135,3,FALSE)</f>
        <v>2022</v>
      </c>
      <c r="I124" s="15">
        <f t="shared" ca="1" si="8"/>
        <v>4</v>
      </c>
      <c r="J124" s="26" t="s">
        <v>328</v>
      </c>
      <c r="K124" s="11" t="s">
        <v>19</v>
      </c>
      <c r="L124" s="11" t="s">
        <v>325</v>
      </c>
      <c r="M124" s="108"/>
      <c r="N124" s="31"/>
    </row>
    <row r="125" spans="1:14">
      <c r="A125" s="5"/>
      <c r="B125" s="6"/>
      <c r="C125" s="6"/>
      <c r="D125" s="6" t="s">
        <v>298</v>
      </c>
      <c r="E125" s="6"/>
      <c r="F125" s="17" t="s">
        <v>17</v>
      </c>
      <c r="G125" s="15" t="str">
        <f>VLOOKUP(F125,Data!$B$122:$C$135,2,FALSE)</f>
        <v>Acer</v>
      </c>
      <c r="H125" s="15">
        <f>VLOOKUP(F125,Data!$B$122:$D$135,3,FALSE)</f>
        <v>2021</v>
      </c>
      <c r="I125" s="15">
        <f t="shared" ca="1" si="8"/>
        <v>5</v>
      </c>
      <c r="J125" s="26" t="s">
        <v>329</v>
      </c>
      <c r="K125" s="11" t="s">
        <v>19</v>
      </c>
      <c r="L125" s="11" t="s">
        <v>396</v>
      </c>
      <c r="M125" s="108"/>
      <c r="N125" s="31"/>
    </row>
    <row r="126" spans="1:14">
      <c r="A126" s="5">
        <v>73</v>
      </c>
      <c r="B126" s="6" t="s">
        <v>331</v>
      </c>
      <c r="C126" s="6" t="s">
        <v>332</v>
      </c>
      <c r="D126" s="6" t="s">
        <v>298</v>
      </c>
      <c r="E126" s="6" t="s">
        <v>53</v>
      </c>
      <c r="F126" s="17" t="s">
        <v>299</v>
      </c>
      <c r="G126" s="15" t="str">
        <f>VLOOKUP(F126,Data!$B$122:$C$135,2,FALSE)</f>
        <v>Apple</v>
      </c>
      <c r="H126" s="15">
        <f>VLOOKUP(F126,Data!$B$122:$D$135,3,FALSE)</f>
        <v>2023</v>
      </c>
      <c r="I126" s="15">
        <f t="shared" ca="1" si="8"/>
        <v>3</v>
      </c>
      <c r="J126" s="26" t="s">
        <v>333</v>
      </c>
      <c r="K126" s="11" t="s">
        <v>19</v>
      </c>
      <c r="L126" s="11" t="s">
        <v>331</v>
      </c>
      <c r="M126" s="108"/>
      <c r="N126" s="31"/>
    </row>
    <row r="127" spans="1:14">
      <c r="A127" s="5"/>
      <c r="B127" s="6"/>
      <c r="C127" s="6"/>
      <c r="D127" s="6" t="s">
        <v>298</v>
      </c>
      <c r="E127" s="6"/>
      <c r="F127" s="17" t="s">
        <v>17</v>
      </c>
      <c r="G127" s="15" t="str">
        <f>VLOOKUP(F127,Data!$B$122:$C$135,2,FALSE)</f>
        <v>Acer</v>
      </c>
      <c r="H127" s="15">
        <f>VLOOKUP(F127,Data!$B$122:$D$135,3,FALSE)</f>
        <v>2021</v>
      </c>
      <c r="I127" s="15">
        <f t="shared" ca="1" si="8"/>
        <v>5</v>
      </c>
      <c r="J127" s="26" t="s">
        <v>321</v>
      </c>
      <c r="K127" s="11" t="s">
        <v>19</v>
      </c>
      <c r="L127" s="11" t="s">
        <v>331</v>
      </c>
      <c r="M127" s="108"/>
      <c r="N127" s="31"/>
    </row>
    <row r="128" spans="1:14">
      <c r="A128" s="5">
        <v>74</v>
      </c>
      <c r="B128" s="6" t="s">
        <v>397</v>
      </c>
      <c r="C128" s="6" t="s">
        <v>398</v>
      </c>
      <c r="D128" s="6" t="s">
        <v>298</v>
      </c>
      <c r="E128" s="6" t="s">
        <v>53</v>
      </c>
      <c r="F128" s="17" t="s">
        <v>299</v>
      </c>
      <c r="G128" s="15" t="str">
        <f>VLOOKUP(F128,Data!$B$122:$C$135,2,FALSE)</f>
        <v>Apple</v>
      </c>
      <c r="H128" s="15">
        <f>VLOOKUP(F128,Data!$B$122:$D$135,3,FALSE)</f>
        <v>2023</v>
      </c>
      <c r="I128" s="15">
        <f t="shared" ca="1" si="8"/>
        <v>3</v>
      </c>
      <c r="J128" s="26" t="s">
        <v>399</v>
      </c>
      <c r="K128" s="11" t="s">
        <v>19</v>
      </c>
      <c r="L128" s="11" t="s">
        <v>397</v>
      </c>
      <c r="M128" s="108"/>
      <c r="N128" s="31"/>
    </row>
    <row r="129" spans="1:14">
      <c r="A129" s="5"/>
      <c r="B129" s="6"/>
      <c r="C129" s="6"/>
      <c r="D129" s="6" t="s">
        <v>298</v>
      </c>
      <c r="E129" s="6"/>
      <c r="F129" s="17" t="s">
        <v>78</v>
      </c>
      <c r="G129" s="15" t="str">
        <f>VLOOKUP(F129,Data!$B$122:$C$135,2,FALSE)</f>
        <v>Apple</v>
      </c>
      <c r="H129" s="15">
        <f>VLOOKUP(F129,Data!$B$122:$D$135,3,FALSE)</f>
        <v>2022</v>
      </c>
      <c r="I129" s="15">
        <f t="shared" ca="1" si="8"/>
        <v>4</v>
      </c>
      <c r="J129" s="26" t="s">
        <v>400</v>
      </c>
      <c r="K129" s="11" t="s">
        <v>19</v>
      </c>
      <c r="L129" s="11" t="s">
        <v>397</v>
      </c>
      <c r="M129" s="108"/>
      <c r="N129" s="31"/>
    </row>
    <row r="130" spans="1:14">
      <c r="A130" s="5"/>
      <c r="B130" s="6"/>
      <c r="C130" s="6"/>
      <c r="D130" s="6" t="s">
        <v>298</v>
      </c>
      <c r="E130" s="6"/>
      <c r="F130" s="17" t="s">
        <v>17</v>
      </c>
      <c r="G130" s="15" t="str">
        <f>VLOOKUP(F130,Data!$B$122:$C$135,2,FALSE)</f>
        <v>Acer</v>
      </c>
      <c r="H130" s="15">
        <f>VLOOKUP(F130,Data!$B$122:$D$135,3,FALSE)</f>
        <v>2021</v>
      </c>
      <c r="I130" s="15">
        <f t="shared" ca="1" si="8"/>
        <v>5</v>
      </c>
      <c r="J130" s="26" t="s">
        <v>401</v>
      </c>
      <c r="K130" s="11" t="s">
        <v>19</v>
      </c>
      <c r="L130" s="11" t="s">
        <v>402</v>
      </c>
      <c r="M130" s="108"/>
      <c r="N130" s="31"/>
    </row>
    <row r="131" spans="1:14">
      <c r="A131" s="5"/>
      <c r="B131" s="6"/>
      <c r="C131" s="6"/>
      <c r="D131" s="6" t="s">
        <v>298</v>
      </c>
      <c r="E131" s="6"/>
      <c r="F131" s="17" t="s">
        <v>32</v>
      </c>
      <c r="G131" s="15" t="str">
        <f>VLOOKUP(F131,Data!$B$122:$C$135,2,FALSE)</f>
        <v>Acer</v>
      </c>
      <c r="H131" s="15">
        <f>VLOOKUP(F131,Data!$B$122:$D$135,3,FALSE)</f>
        <v>2024</v>
      </c>
      <c r="I131" s="15">
        <f t="shared" ca="1" si="8"/>
        <v>2</v>
      </c>
      <c r="J131" s="26" t="s">
        <v>403</v>
      </c>
      <c r="K131" s="11" t="s">
        <v>19</v>
      </c>
      <c r="L131" s="11" t="s">
        <v>404</v>
      </c>
      <c r="M131" s="108"/>
      <c r="N131" s="31"/>
    </row>
    <row r="132" spans="1:14">
      <c r="A132" s="5">
        <v>75</v>
      </c>
      <c r="B132" s="6" t="s">
        <v>339</v>
      </c>
      <c r="C132" s="6" t="s">
        <v>340</v>
      </c>
      <c r="D132" s="6" t="s">
        <v>298</v>
      </c>
      <c r="E132" s="6" t="s">
        <v>63</v>
      </c>
      <c r="F132" s="17" t="s">
        <v>299</v>
      </c>
      <c r="G132" s="15" t="str">
        <f>VLOOKUP(F132,Data!$B$122:$C$135,2,FALSE)</f>
        <v>Apple</v>
      </c>
      <c r="H132" s="15">
        <f>VLOOKUP(F132,Data!$B$122:$D$135,3,FALSE)</f>
        <v>2023</v>
      </c>
      <c r="I132" s="15">
        <f t="shared" ca="1" si="8"/>
        <v>3</v>
      </c>
      <c r="J132" s="26" t="s">
        <v>341</v>
      </c>
      <c r="K132" s="11" t="s">
        <v>19</v>
      </c>
      <c r="L132" s="11" t="s">
        <v>339</v>
      </c>
      <c r="M132" s="108"/>
      <c r="N132" s="31"/>
    </row>
    <row r="133" spans="1:14">
      <c r="A133" s="5"/>
      <c r="B133" s="6"/>
      <c r="C133" s="6"/>
      <c r="D133" s="6" t="s">
        <v>298</v>
      </c>
      <c r="E133" s="6"/>
      <c r="F133" s="17" t="s">
        <v>32</v>
      </c>
      <c r="G133" s="15" t="str">
        <f>VLOOKUP(F133,Data!$B$122:$C$135,2,FALSE)</f>
        <v>Acer</v>
      </c>
      <c r="H133" s="15">
        <f>VLOOKUP(F133,Data!$B$122:$D$135,3,FALSE)</f>
        <v>2024</v>
      </c>
      <c r="I133" s="15">
        <f t="shared" ca="1" si="8"/>
        <v>2</v>
      </c>
      <c r="J133" s="26" t="s">
        <v>342</v>
      </c>
      <c r="K133" s="11" t="s">
        <v>19</v>
      </c>
      <c r="L133" s="11" t="s">
        <v>339</v>
      </c>
      <c r="M133" s="108"/>
      <c r="N133" s="31"/>
    </row>
    <row r="134" spans="1:14">
      <c r="A134" s="5">
        <v>76</v>
      </c>
      <c r="B134" s="6" t="s">
        <v>343</v>
      </c>
      <c r="C134" s="6" t="s">
        <v>344</v>
      </c>
      <c r="D134" s="6" t="s">
        <v>298</v>
      </c>
      <c r="E134" s="6" t="s">
        <v>63</v>
      </c>
      <c r="F134" s="17" t="s">
        <v>299</v>
      </c>
      <c r="G134" s="15" t="str">
        <f>VLOOKUP(F134,Data!$B$122:$C$135,2,FALSE)</f>
        <v>Apple</v>
      </c>
      <c r="H134" s="15">
        <f>VLOOKUP(F134,Data!$B$122:$D$135,3,FALSE)</f>
        <v>2023</v>
      </c>
      <c r="I134" s="15">
        <f t="shared" ca="1" si="8"/>
        <v>3</v>
      </c>
      <c r="J134" s="26" t="s">
        <v>345</v>
      </c>
      <c r="K134" s="11" t="s">
        <v>19</v>
      </c>
      <c r="L134" s="11" t="s">
        <v>343</v>
      </c>
      <c r="M134" s="108"/>
      <c r="N134" s="31"/>
    </row>
    <row r="135" spans="1:14">
      <c r="A135" s="5"/>
      <c r="B135" s="6"/>
      <c r="C135" s="6"/>
      <c r="D135" s="6" t="s">
        <v>298</v>
      </c>
      <c r="E135" s="6"/>
      <c r="F135" s="17" t="s">
        <v>17</v>
      </c>
      <c r="G135" s="15" t="str">
        <f>VLOOKUP(F135,Data!$B$122:$C$135,2,FALSE)</f>
        <v>Acer</v>
      </c>
      <c r="H135" s="15">
        <f>VLOOKUP(F135,Data!$B$122:$D$135,3,FALSE)</f>
        <v>2021</v>
      </c>
      <c r="I135" s="15">
        <f t="shared" ca="1" si="8"/>
        <v>5</v>
      </c>
      <c r="J135" s="26" t="s">
        <v>346</v>
      </c>
      <c r="K135" s="11" t="s">
        <v>19</v>
      </c>
      <c r="L135" s="11" t="s">
        <v>343</v>
      </c>
      <c r="M135" s="108"/>
      <c r="N135" s="31"/>
    </row>
    <row r="136" spans="1:14">
      <c r="A136" s="5">
        <v>77</v>
      </c>
      <c r="B136" s="6" t="s">
        <v>347</v>
      </c>
      <c r="C136" s="6" t="s">
        <v>348</v>
      </c>
      <c r="D136" s="6" t="s">
        <v>298</v>
      </c>
      <c r="E136" s="6" t="s">
        <v>63</v>
      </c>
      <c r="F136" s="17" t="s">
        <v>299</v>
      </c>
      <c r="G136" s="15" t="str">
        <f>VLOOKUP(F136,Data!$B$122:$C$135,2,FALSE)</f>
        <v>Apple</v>
      </c>
      <c r="H136" s="15">
        <f>VLOOKUP(F136,Data!$B$122:$D$135,3,FALSE)</f>
        <v>2023</v>
      </c>
      <c r="I136" s="15">
        <f t="shared" ca="1" si="8"/>
        <v>3</v>
      </c>
      <c r="J136" s="26" t="s">
        <v>349</v>
      </c>
      <c r="K136" s="11" t="s">
        <v>19</v>
      </c>
      <c r="L136" s="11" t="s">
        <v>347</v>
      </c>
      <c r="M136" s="108"/>
      <c r="N136" s="31"/>
    </row>
    <row r="137" spans="1:14">
      <c r="A137" s="5"/>
      <c r="B137" s="6"/>
      <c r="C137" s="6"/>
      <c r="D137" s="6" t="s">
        <v>298</v>
      </c>
      <c r="E137" s="6"/>
      <c r="F137" s="17" t="s">
        <v>78</v>
      </c>
      <c r="G137" s="15" t="str">
        <f>VLOOKUP(F137,Data!$B$122:$C$135,2,FALSE)</f>
        <v>Apple</v>
      </c>
      <c r="H137" s="15">
        <f>VLOOKUP(F137,Data!$B$122:$D$135,3,FALSE)</f>
        <v>2022</v>
      </c>
      <c r="I137" s="15">
        <f t="shared" ca="1" si="8"/>
        <v>4</v>
      </c>
      <c r="J137" s="26" t="s">
        <v>350</v>
      </c>
      <c r="K137" s="11" t="s">
        <v>19</v>
      </c>
      <c r="L137" s="11" t="s">
        <v>347</v>
      </c>
      <c r="M137" s="108"/>
      <c r="N137" s="31"/>
    </row>
    <row r="138" spans="1:14">
      <c r="A138" s="5">
        <v>78</v>
      </c>
      <c r="B138" s="6" t="s">
        <v>334</v>
      </c>
      <c r="C138" s="6" t="s">
        <v>335</v>
      </c>
      <c r="D138" s="6" t="s">
        <v>298</v>
      </c>
      <c r="E138" s="6" t="s">
        <v>63</v>
      </c>
      <c r="F138" s="17" t="s">
        <v>78</v>
      </c>
      <c r="G138" s="15" t="str">
        <f>VLOOKUP(F138,Data!$B$122:$C$135,2,FALSE)</f>
        <v>Apple</v>
      </c>
      <c r="H138" s="15">
        <f>VLOOKUP(F138,Data!$B$122:$D$135,3,FALSE)</f>
        <v>2022</v>
      </c>
      <c r="I138" s="15">
        <f t="shared" ca="1" si="8"/>
        <v>4</v>
      </c>
      <c r="J138" s="26" t="s">
        <v>336</v>
      </c>
      <c r="K138" s="11" t="s">
        <v>19</v>
      </c>
      <c r="L138" s="11" t="s">
        <v>334</v>
      </c>
      <c r="M138" s="108"/>
      <c r="N138" s="31" t="s">
        <v>405</v>
      </c>
    </row>
    <row r="139" spans="1:14">
      <c r="A139" s="5">
        <v>79</v>
      </c>
      <c r="B139" s="6" t="s">
        <v>306</v>
      </c>
      <c r="C139" s="6" t="s">
        <v>357</v>
      </c>
      <c r="D139" s="6" t="s">
        <v>298</v>
      </c>
      <c r="E139" s="6" t="s">
        <v>85</v>
      </c>
      <c r="F139" s="17" t="s">
        <v>299</v>
      </c>
      <c r="G139" s="15" t="str">
        <f>VLOOKUP(F139,Data!$B$122:$C$135,2,FALSE)</f>
        <v>Apple</v>
      </c>
      <c r="H139" s="15">
        <f>VLOOKUP(F139,Data!$B$122:$D$135,3,FALSE)</f>
        <v>2023</v>
      </c>
      <c r="I139" s="15">
        <f t="shared" ca="1" si="8"/>
        <v>3</v>
      </c>
      <c r="J139" s="26" t="s">
        <v>358</v>
      </c>
      <c r="K139" s="11" t="s">
        <v>19</v>
      </c>
      <c r="L139" s="11" t="s">
        <v>306</v>
      </c>
      <c r="M139" s="108"/>
      <c r="N139" s="31"/>
    </row>
    <row r="140" spans="1:14">
      <c r="A140" s="5">
        <v>80</v>
      </c>
      <c r="B140" s="6" t="s">
        <v>351</v>
      </c>
      <c r="C140" s="6" t="s">
        <v>352</v>
      </c>
      <c r="D140" s="6" t="s">
        <v>298</v>
      </c>
      <c r="E140" s="6" t="s">
        <v>85</v>
      </c>
      <c r="F140" s="17" t="s">
        <v>299</v>
      </c>
      <c r="G140" s="15" t="str">
        <f>VLOOKUP(F140,Data!$B$122:$C$135,2,FALSE)</f>
        <v>Apple</v>
      </c>
      <c r="H140" s="15">
        <f>VLOOKUP(F140,Data!$B$122:$D$135,3,FALSE)</f>
        <v>2023</v>
      </c>
      <c r="I140" s="15">
        <f t="shared" ca="1" si="8"/>
        <v>3</v>
      </c>
      <c r="J140" s="26" t="s">
        <v>353</v>
      </c>
      <c r="K140" s="11" t="s">
        <v>19</v>
      </c>
      <c r="L140" s="11" t="s">
        <v>351</v>
      </c>
      <c r="M140" s="108"/>
      <c r="N140" s="31"/>
    </row>
    <row r="141" spans="1:14">
      <c r="A141" s="5"/>
      <c r="B141" s="6"/>
      <c r="C141" s="6"/>
      <c r="D141" s="6" t="s">
        <v>298</v>
      </c>
      <c r="E141" s="6"/>
      <c r="F141" s="17" t="s">
        <v>17</v>
      </c>
      <c r="G141" s="15" t="str">
        <f>VLOOKUP(F141,Data!$B$122:$C$135,2,FALSE)</f>
        <v>Acer</v>
      </c>
      <c r="H141" s="15">
        <f>VLOOKUP(F141,Data!$B$122:$D$135,3,FALSE)</f>
        <v>2021</v>
      </c>
      <c r="I141" s="15">
        <f t="shared" ca="1" si="8"/>
        <v>5</v>
      </c>
      <c r="J141" s="26" t="s">
        <v>406</v>
      </c>
      <c r="K141" s="11" t="s">
        <v>19</v>
      </c>
      <c r="L141" s="11" t="s">
        <v>407</v>
      </c>
      <c r="M141" s="108" t="s">
        <v>119</v>
      </c>
      <c r="N141" s="31" t="s">
        <v>408</v>
      </c>
    </row>
    <row r="142" spans="1:14">
      <c r="A142" s="5">
        <v>81</v>
      </c>
      <c r="B142" s="6" t="s">
        <v>365</v>
      </c>
      <c r="C142" s="6" t="s">
        <v>366</v>
      </c>
      <c r="D142" s="6" t="s">
        <v>298</v>
      </c>
      <c r="E142" s="6" t="s">
        <v>367</v>
      </c>
      <c r="F142" s="17" t="s">
        <v>17</v>
      </c>
      <c r="G142" s="15" t="str">
        <f>VLOOKUP(F142,Data!$B$122:$C$135,2,FALSE)</f>
        <v>Acer</v>
      </c>
      <c r="H142" s="15">
        <f>VLOOKUP(F142,Data!$B$122:$D$135,3,FALSE)</f>
        <v>2021</v>
      </c>
      <c r="I142" s="15">
        <f t="shared" ca="1" si="8"/>
        <v>5</v>
      </c>
      <c r="J142" s="17" t="s">
        <v>368</v>
      </c>
      <c r="K142" s="11" t="s">
        <v>19</v>
      </c>
      <c r="L142" s="11" t="s">
        <v>365</v>
      </c>
      <c r="M142" s="108"/>
      <c r="N142" s="31"/>
    </row>
    <row r="143" spans="1:14">
      <c r="A143" s="5"/>
      <c r="B143" s="6"/>
      <c r="C143" s="6"/>
      <c r="D143" s="6" t="s">
        <v>298</v>
      </c>
      <c r="E143" s="6"/>
      <c r="F143" s="17" t="s">
        <v>17</v>
      </c>
      <c r="G143" s="15" t="str">
        <f>VLOOKUP(F143,Data!$B$122:$C$135,2,FALSE)</f>
        <v>Acer</v>
      </c>
      <c r="H143" s="15">
        <f>VLOOKUP(F143,Data!$B$122:$D$135,3,FALSE)</f>
        <v>2021</v>
      </c>
      <c r="I143" s="15">
        <f t="shared" ca="1" si="8"/>
        <v>5</v>
      </c>
      <c r="J143" s="17" t="s">
        <v>370</v>
      </c>
      <c r="K143" s="11" t="s">
        <v>19</v>
      </c>
      <c r="L143" s="11" t="s">
        <v>365</v>
      </c>
      <c r="M143" s="108" t="s">
        <v>70</v>
      </c>
      <c r="N143" s="31"/>
    </row>
    <row r="144" spans="1:14">
      <c r="A144" s="5">
        <v>82</v>
      </c>
      <c r="B144" s="6" t="s">
        <v>373</v>
      </c>
      <c r="C144" s="6" t="s">
        <v>374</v>
      </c>
      <c r="D144" s="6" t="s">
        <v>375</v>
      </c>
      <c r="E144" s="6" t="s">
        <v>376</v>
      </c>
      <c r="F144" s="17"/>
      <c r="G144" s="15" t="e">
        <f>VLOOKUP(F144,Data!$B$122:$C$135,2,FALSE)</f>
        <v>#N/A</v>
      </c>
      <c r="H144" s="15" t="e">
        <f>VLOOKUP(F144,Data!$B$122:$D$135,3,FALSE)</f>
        <v>#N/A</v>
      </c>
      <c r="I144" s="15" t="e">
        <f t="shared" ca="1" si="8"/>
        <v>#N/A</v>
      </c>
      <c r="J144" s="17"/>
      <c r="K144" s="11" t="s">
        <v>19</v>
      </c>
      <c r="L144" s="11"/>
      <c r="M144" s="108"/>
      <c r="N144" s="31"/>
    </row>
    <row r="145" spans="1:14">
      <c r="A145" s="5">
        <v>83</v>
      </c>
      <c r="B145" s="6" t="s">
        <v>377</v>
      </c>
      <c r="C145" s="6" t="s">
        <v>378</v>
      </c>
      <c r="D145" s="6" t="s">
        <v>375</v>
      </c>
      <c r="E145" s="6" t="s">
        <v>379</v>
      </c>
      <c r="F145" s="17"/>
      <c r="G145" s="15" t="e">
        <f>VLOOKUP(F145,Data!$B$122:$C$135,2,FALSE)</f>
        <v>#N/A</v>
      </c>
      <c r="H145" s="15" t="e">
        <f>VLOOKUP(F145,Data!$B$122:$D$135,3,FALSE)</f>
        <v>#N/A</v>
      </c>
      <c r="I145" s="15" t="e">
        <f t="shared" ca="1" si="8"/>
        <v>#N/A</v>
      </c>
      <c r="J145" s="17"/>
      <c r="K145" s="11" t="s">
        <v>19</v>
      </c>
      <c r="L145" s="11"/>
      <c r="M145" s="108"/>
      <c r="N145" s="31"/>
    </row>
    <row r="146" spans="1:14">
      <c r="A146" s="5">
        <v>84</v>
      </c>
      <c r="B146" s="6" t="s">
        <v>380</v>
      </c>
      <c r="C146" s="6" t="s">
        <v>381</v>
      </c>
      <c r="D146" s="6" t="s">
        <v>375</v>
      </c>
      <c r="E146" s="6" t="s">
        <v>382</v>
      </c>
      <c r="F146" s="17"/>
      <c r="G146" s="15" t="e">
        <f>VLOOKUP(F146,Data!$B$122:$C$135,2,FALSE)</f>
        <v>#N/A</v>
      </c>
      <c r="H146" s="15" t="e">
        <f>VLOOKUP(F146,Data!$B$122:$D$135,3,FALSE)</f>
        <v>#N/A</v>
      </c>
      <c r="I146" s="15" t="e">
        <f t="shared" ca="1" si="8"/>
        <v>#N/A</v>
      </c>
      <c r="J146" s="17"/>
      <c r="K146" s="11" t="s">
        <v>19</v>
      </c>
      <c r="L146" s="11"/>
      <c r="M146" s="108"/>
      <c r="N146" s="31"/>
    </row>
    <row r="147" spans="1:14">
      <c r="A147" s="5">
        <v>85</v>
      </c>
      <c r="B147" s="6" t="s">
        <v>383</v>
      </c>
      <c r="C147" s="6" t="s">
        <v>384</v>
      </c>
      <c r="D147" s="6" t="s">
        <v>375</v>
      </c>
      <c r="E147" s="6" t="s">
        <v>367</v>
      </c>
      <c r="F147" s="17" t="s">
        <v>32</v>
      </c>
      <c r="G147" s="15" t="str">
        <f>VLOOKUP(F147,Data!$B$122:$C$135,2,FALSE)</f>
        <v>Acer</v>
      </c>
      <c r="H147" s="15">
        <f>VLOOKUP(F147,Data!$B$122:$D$135,3,FALSE)</f>
        <v>2024</v>
      </c>
      <c r="I147" s="15">
        <f t="shared" ca="1" si="8"/>
        <v>2</v>
      </c>
      <c r="J147" s="17"/>
      <c r="K147" s="11" t="s">
        <v>19</v>
      </c>
      <c r="L147" s="11"/>
      <c r="M147" s="108"/>
      <c r="N147" s="31"/>
    </row>
    <row r="148" spans="1:14">
      <c r="A148" s="5"/>
      <c r="B148" s="6"/>
      <c r="C148" s="6"/>
      <c r="D148" s="6" t="s">
        <v>375</v>
      </c>
      <c r="E148" s="6"/>
      <c r="F148" s="17" t="s">
        <v>125</v>
      </c>
      <c r="G148" s="15" t="str">
        <f>VLOOKUP(F148,Data!$B$122:$C$135,2,FALSE)</f>
        <v>Acer</v>
      </c>
      <c r="H148" s="15">
        <f>VLOOKUP(F148,Data!$B$122:$D$135,3,FALSE)</f>
        <v>2021</v>
      </c>
      <c r="I148" s="15">
        <f t="shared" ca="1" si="8"/>
        <v>5</v>
      </c>
      <c r="J148" s="17"/>
      <c r="K148" s="11" t="s">
        <v>19</v>
      </c>
      <c r="L148" s="11" t="s">
        <v>385</v>
      </c>
      <c r="M148" s="108" t="s">
        <v>111</v>
      </c>
      <c r="N148" s="31"/>
    </row>
    <row r="149" spans="1:14">
      <c r="A149" s="5">
        <v>86</v>
      </c>
      <c r="B149" s="6" t="s">
        <v>385</v>
      </c>
      <c r="C149" s="6" t="s">
        <v>386</v>
      </c>
      <c r="D149" s="6" t="s">
        <v>375</v>
      </c>
      <c r="E149" s="6" t="s">
        <v>387</v>
      </c>
      <c r="F149" s="17"/>
      <c r="G149" s="15" t="e">
        <f>VLOOKUP(F149,Data!$B$122:$C$135,2,FALSE)</f>
        <v>#N/A</v>
      </c>
      <c r="H149" s="15" t="e">
        <f>VLOOKUP(F149,Data!$B$122:$D$135,3,FALSE)</f>
        <v>#N/A</v>
      </c>
      <c r="I149" s="15" t="e">
        <f t="shared" ca="1" si="8"/>
        <v>#N/A</v>
      </c>
      <c r="J149" s="17"/>
      <c r="K149" s="11" t="s">
        <v>19</v>
      </c>
      <c r="L149" s="11"/>
      <c r="M149" s="108"/>
      <c r="N149" s="31"/>
    </row>
    <row r="150" spans="1:14">
      <c r="A150" s="22"/>
      <c r="B150" s="23"/>
      <c r="C150" s="23"/>
      <c r="D150" s="23"/>
      <c r="E150" s="23"/>
    </row>
    <row r="152" spans="1:14" ht="15.75"/>
  </sheetData>
  <autoFilter ref="A1:N151" xr:uid="{DCD2415C-4972-FC46-A295-9E1A94F1BE26}"/>
  <phoneticPr fontId="4" type="noConversion"/>
  <conditionalFormatting sqref="G1:I96">
    <cfRule type="containsErrors" dxfId="16" priority="10" stopIfTrue="1">
      <formula>ISERROR(G1)</formula>
    </cfRule>
  </conditionalFormatting>
  <conditionalFormatting sqref="G97:I1048576">
    <cfRule type="containsErrors" dxfId="15" priority="14" stopIfTrue="1">
      <formula>ISERROR(G97)</formula>
    </cfRule>
  </conditionalFormatting>
  <dataValidations count="1">
    <dataValidation allowBlank="1" showInputMessage="1" showErrorMessage="1" sqref="L1:L1048576" xr:uid="{C9A28F9A-43E4-4357-AA7D-BC852645CBFA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3586761C-3925-9B47-8DE1-907020C32066}">
            <xm:f>ISNUMBER(MATCH(L2,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L2:L6 L34:N34 L35:L36 L37:N37 L38:L40 L41:N41 L42:L43 L44:N44 L45:L46 L47:N47 L48:L150 L7:N7 L28:L33 L20:L26 L14:L17 L8:L12</xm:sqref>
        </x14:conditionalFormatting>
        <x14:conditionalFormatting xmlns:xm="http://schemas.microsoft.com/office/excel/2006/main">
          <x14:cfRule type="expression" priority="7" id="{1D8663D4-06E4-4DCD-852A-B124EE4E304F}">
            <xm:f>ISNUMBER(MATCH(M14,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M14:N14</xm:sqref>
        </x14:conditionalFormatting>
        <x14:conditionalFormatting xmlns:xm="http://schemas.microsoft.com/office/excel/2006/main">
          <x14:cfRule type="expression" priority="6" id="{FB80428E-72A0-4A19-8BC4-481753970888}">
            <xm:f>ISNUMBER(MATCH(M19,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M19:N19</xm:sqref>
        </x14:conditionalFormatting>
        <x14:conditionalFormatting xmlns:xm="http://schemas.microsoft.com/office/excel/2006/main">
          <x14:cfRule type="expression" priority="5" id="{C75F4041-216D-4E2E-BC3C-F1FA0D3C3E31}">
            <xm:f>ISNUMBER(MATCH(M22,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M22:N22</xm:sqref>
        </x14:conditionalFormatting>
        <x14:conditionalFormatting xmlns:xm="http://schemas.microsoft.com/office/excel/2006/main">
          <x14:cfRule type="expression" priority="4" id="{C3C8992F-887A-44AA-BB05-4348380A20AB}">
            <xm:f>ISNUMBER(MATCH(L27,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L27:N27</xm:sqref>
        </x14:conditionalFormatting>
        <x14:conditionalFormatting xmlns:xm="http://schemas.microsoft.com/office/excel/2006/main">
          <x14:cfRule type="expression" priority="3" id="{2FB1194C-9B7C-4B2B-9A2F-F28EA1B94DCD}">
            <xm:f>ISNUMBER(MATCH(M18,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M18:N18</xm:sqref>
        </x14:conditionalFormatting>
        <x14:conditionalFormatting xmlns:xm="http://schemas.microsoft.com/office/excel/2006/main">
          <x14:cfRule type="expression" priority="2" id="{F9E2A0C5-6977-4F04-8C30-72E56F1411B5}">
            <xm:f>ISNUMBER(MATCH(L13,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L13:N13</xm:sqref>
        </x14:conditionalFormatting>
        <x14:conditionalFormatting xmlns:xm="http://schemas.microsoft.com/office/excel/2006/main">
          <x14:cfRule type="expression" priority="1" id="{B56171FF-F70D-4375-B435-DF852F41C300}">
            <xm:f>ISNUMBER(MATCH(L18,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L18:L19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F861D7-D726-B546-B557-98792D2DCBCB}">
          <x14:formula1>
            <xm:f>Data!$B$122:$B$135</xm:f>
          </x14:formula1>
          <xm:sqref>F35:F71 F73:F150 F2:F32</xm:sqref>
        </x14:dataValidation>
        <x14:dataValidation type="list" allowBlank="1" showInputMessage="1" showErrorMessage="1" xr:uid="{4F8E9A23-375F-FA40-B800-CFB2F611CAF4}">
          <x14:formula1>
            <xm:f>Data!$F$122:$F$124</xm:f>
          </x14:formula1>
          <xm:sqref>M2:M150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9C92-1BE1-B145-8C5D-99E15BE991A4}">
  <sheetPr filterMode="1">
    <pageSetUpPr fitToPage="1"/>
  </sheetPr>
  <dimension ref="A1:N96"/>
  <sheetViews>
    <sheetView zoomScale="83" workbookViewId="0">
      <pane xSplit="2" ySplit="1" topLeftCell="C2" activePane="bottomRight" state="frozen"/>
      <selection pane="bottomRight" activeCell="B34" sqref="A1:XFD1048576"/>
      <selection pane="bottomLeft"/>
      <selection pane="topRight"/>
    </sheetView>
  </sheetViews>
  <sheetFormatPr defaultColWidth="9" defaultRowHeight="15.95"/>
  <cols>
    <col min="1" max="1" width="6.125" customWidth="1"/>
    <col min="2" max="2" width="24.5" bestFit="1" customWidth="1"/>
    <col min="3" max="3" width="20.875" customWidth="1"/>
    <col min="4" max="4" width="21.625" customWidth="1"/>
    <col min="5" max="5" width="37.5" bestFit="1" customWidth="1"/>
    <col min="6" max="6" width="21.625" bestFit="1" customWidth="1"/>
    <col min="7" max="7" width="11"/>
    <col min="8" max="8" width="12.5" customWidth="1"/>
    <col min="9" max="9" width="11"/>
    <col min="10" max="10" width="29" customWidth="1"/>
    <col min="11" max="11" width="14.125" customWidth="1"/>
    <col min="12" max="12" width="23.625" customWidth="1"/>
    <col min="13" max="13" width="31.625" bestFit="1" customWidth="1"/>
  </cols>
  <sheetData>
    <row r="1" spans="1:14" s="16" customFormat="1" ht="24.95">
      <c r="A1" s="27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8" t="s">
        <v>5</v>
      </c>
      <c r="G1" s="28" t="s">
        <v>6</v>
      </c>
      <c r="H1" s="28" t="s">
        <v>409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30"/>
    </row>
    <row r="2" spans="1:14">
      <c r="A2" s="5">
        <v>1</v>
      </c>
      <c r="B2" s="6" t="s">
        <v>13</v>
      </c>
      <c r="C2" s="6" t="s">
        <v>14</v>
      </c>
      <c r="D2" s="6" t="s">
        <v>15</v>
      </c>
      <c r="E2" s="12" t="s">
        <v>16</v>
      </c>
      <c r="F2" s="31" t="s">
        <v>410</v>
      </c>
      <c r="G2" s="32" t="str">
        <f>VLOOKUP(F2,Data!$B$140:$C$144,2,FALSE)</f>
        <v>Apple</v>
      </c>
      <c r="H2" s="32">
        <f>VLOOKUP(F2,Data!$B$140:$D$144,3,FALSE)</f>
        <v>2023</v>
      </c>
      <c r="I2" s="32">
        <f t="shared" ref="I2:I58" ca="1" si="0">YEAR(TODAY()) - H2</f>
        <v>3</v>
      </c>
      <c r="J2" s="31"/>
      <c r="K2" s="31"/>
      <c r="L2" s="31" t="s">
        <v>13</v>
      </c>
      <c r="M2" s="31"/>
    </row>
    <row r="3" spans="1:14">
      <c r="A3" s="5"/>
      <c r="B3" s="6"/>
      <c r="C3" s="6"/>
      <c r="D3" s="6" t="s">
        <v>15</v>
      </c>
      <c r="E3" s="12"/>
      <c r="F3" s="31" t="s">
        <v>411</v>
      </c>
      <c r="G3" s="32" t="str">
        <f>VLOOKUP(F3,Data!$B$140:$C$144,2,FALSE)</f>
        <v>Xiaomi</v>
      </c>
      <c r="H3" s="32">
        <f>VLOOKUP(F3,Data!$B$140:$D$144,3,FALSE)</f>
        <v>2023</v>
      </c>
      <c r="I3" s="40">
        <f t="shared" ref="I3" ca="1" si="1">YEAR(TODAY()) - H3</f>
        <v>3</v>
      </c>
      <c r="J3" s="41"/>
      <c r="K3" s="41"/>
      <c r="L3" s="31" t="s">
        <v>339</v>
      </c>
      <c r="M3" s="31"/>
    </row>
    <row r="4" spans="1:14">
      <c r="A4" s="5"/>
      <c r="B4" s="6"/>
      <c r="C4" s="6"/>
      <c r="D4" s="6" t="s">
        <v>15</v>
      </c>
      <c r="E4" s="12"/>
      <c r="F4" s="31" t="s">
        <v>411</v>
      </c>
      <c r="G4" s="32" t="str">
        <f>VLOOKUP(F4,Data!$B$140:$C$144,2,FALSE)</f>
        <v>Xiaomi</v>
      </c>
      <c r="H4" s="32">
        <f>VLOOKUP(F4,Data!$B$140:$D$144,3,FALSE)</f>
        <v>2023</v>
      </c>
      <c r="I4" s="32">
        <f ca="1">YEAR(TODAY()) - H4</f>
        <v>3</v>
      </c>
      <c r="J4" s="31"/>
      <c r="K4" s="31"/>
      <c r="L4" s="41" t="s">
        <v>412</v>
      </c>
      <c r="M4" s="31"/>
    </row>
    <row r="5" spans="1:14">
      <c r="A5" s="5">
        <v>2</v>
      </c>
      <c r="B5" s="6" t="s">
        <v>21</v>
      </c>
      <c r="C5" s="6" t="s">
        <v>22</v>
      </c>
      <c r="D5" s="6" t="s">
        <v>15</v>
      </c>
      <c r="E5" s="12" t="s">
        <v>23</v>
      </c>
      <c r="F5" s="31" t="s">
        <v>410</v>
      </c>
      <c r="G5" s="32" t="str">
        <f>VLOOKUP(F5,Data!$B$140:$C$144,2,FALSE)</f>
        <v>Apple</v>
      </c>
      <c r="H5" s="32">
        <f>VLOOKUP(F5,Data!$B$140:$D$144,3,FALSE)</f>
        <v>2023</v>
      </c>
      <c r="I5" s="32">
        <f t="shared" ca="1" si="0"/>
        <v>3</v>
      </c>
      <c r="J5" s="31"/>
      <c r="K5" s="31"/>
      <c r="L5" s="31" t="s">
        <v>21</v>
      </c>
      <c r="M5" s="31"/>
    </row>
    <row r="6" spans="1:14">
      <c r="A6" s="5"/>
      <c r="B6" s="6"/>
      <c r="C6" s="6"/>
      <c r="D6" s="6" t="s">
        <v>15</v>
      </c>
      <c r="E6" s="12"/>
      <c r="F6" s="31" t="s">
        <v>411</v>
      </c>
      <c r="G6" s="32" t="str">
        <f>VLOOKUP(F6,Data!$B$140:$C$144,2,FALSE)</f>
        <v>Xiaomi</v>
      </c>
      <c r="H6" s="32">
        <f>VLOOKUP(F6,Data!$B$140:$D$144,3,FALSE)</f>
        <v>2023</v>
      </c>
      <c r="I6" s="32">
        <f ca="1">YEAR(TODAY()) - H6</f>
        <v>3</v>
      </c>
      <c r="J6" s="31"/>
      <c r="K6" s="31"/>
      <c r="L6" s="31" t="s">
        <v>413</v>
      </c>
      <c r="M6" s="31"/>
    </row>
    <row r="7" spans="1:14">
      <c r="A7" s="5">
        <v>3</v>
      </c>
      <c r="B7" s="6" t="s">
        <v>29</v>
      </c>
      <c r="C7" s="6" t="s">
        <v>30</v>
      </c>
      <c r="D7" s="6" t="s">
        <v>15</v>
      </c>
      <c r="E7" s="12" t="s">
        <v>31</v>
      </c>
      <c r="F7" s="31" t="s">
        <v>410</v>
      </c>
      <c r="G7" s="32" t="str">
        <f>VLOOKUP(F7,Data!$B$140:$C$144,2,FALSE)</f>
        <v>Apple</v>
      </c>
      <c r="H7" s="32">
        <f>VLOOKUP(F7,Data!$B$140:$D$144,3,FALSE)</f>
        <v>2023</v>
      </c>
      <c r="I7" s="32">
        <f t="shared" ca="1" si="0"/>
        <v>3</v>
      </c>
      <c r="J7" s="31"/>
      <c r="K7" s="31"/>
      <c r="L7" s="31" t="s">
        <v>29</v>
      </c>
      <c r="M7" s="31"/>
    </row>
    <row r="8" spans="1:14">
      <c r="A8" s="5">
        <v>4</v>
      </c>
      <c r="B8" s="6" t="s">
        <v>414</v>
      </c>
      <c r="C8" s="6" t="s">
        <v>415</v>
      </c>
      <c r="D8" s="6" t="s">
        <v>15</v>
      </c>
      <c r="E8" s="12" t="s">
        <v>63</v>
      </c>
      <c r="F8" s="31" t="s">
        <v>411</v>
      </c>
      <c r="G8" s="32" t="str">
        <f>VLOOKUP(F8,Data!$B$140:$C$144,2,FALSE)</f>
        <v>Xiaomi</v>
      </c>
      <c r="H8" s="32">
        <f>VLOOKUP(F8,Data!$B$140:$D$144,3,FALSE)</f>
        <v>2023</v>
      </c>
      <c r="I8" s="32">
        <f t="shared" ca="1" si="0"/>
        <v>3</v>
      </c>
      <c r="J8" s="31"/>
      <c r="K8" s="31"/>
      <c r="L8" s="31" t="s">
        <v>414</v>
      </c>
      <c r="M8" s="31"/>
    </row>
    <row r="9" spans="1:14">
      <c r="A9" s="5">
        <v>5</v>
      </c>
      <c r="B9" s="6" t="s">
        <v>36</v>
      </c>
      <c r="C9" s="6" t="s">
        <v>37</v>
      </c>
      <c r="D9" s="6" t="s">
        <v>15</v>
      </c>
      <c r="E9" s="12" t="s">
        <v>63</v>
      </c>
      <c r="F9" s="31" t="s">
        <v>410</v>
      </c>
      <c r="G9" s="32" t="str">
        <f>VLOOKUP(F9,Data!$B$140:$C$144,2,FALSE)</f>
        <v>Apple</v>
      </c>
      <c r="H9" s="32">
        <f>VLOOKUP(F9,Data!$B$140:$D$144,3,FALSE)</f>
        <v>2023</v>
      </c>
      <c r="I9" s="32">
        <f t="shared" ca="1" si="0"/>
        <v>3</v>
      </c>
      <c r="J9" s="31"/>
      <c r="K9" s="31"/>
      <c r="L9" s="31" t="s">
        <v>36</v>
      </c>
      <c r="M9" s="31"/>
    </row>
    <row r="10" spans="1:14">
      <c r="A10" s="5"/>
      <c r="B10" s="6"/>
      <c r="C10" s="6"/>
      <c r="D10" s="6" t="s">
        <v>15</v>
      </c>
      <c r="E10" s="12"/>
      <c r="F10" s="31" t="s">
        <v>416</v>
      </c>
      <c r="G10" s="32" t="str">
        <f>VLOOKUP(F10,Data!$B$140:$C$144,2,FALSE)</f>
        <v>Xiaomi</v>
      </c>
      <c r="H10" s="32">
        <f>VLOOKUP(F10,Data!$B$140:$D$144,3,FALSE)</f>
        <v>2024</v>
      </c>
      <c r="I10" s="32">
        <f t="shared" ref="I10:I13" ca="1" si="2">YEAR(TODAY()) - H10</f>
        <v>2</v>
      </c>
      <c r="J10" s="31" t="s">
        <v>417</v>
      </c>
      <c r="K10" s="31"/>
      <c r="L10" s="31" t="s">
        <v>50</v>
      </c>
      <c r="M10" s="31"/>
    </row>
    <row r="11" spans="1:14">
      <c r="A11" s="5"/>
      <c r="B11" s="6"/>
      <c r="C11" s="6"/>
      <c r="D11" s="6" t="s">
        <v>15</v>
      </c>
      <c r="E11" s="12"/>
      <c r="F11" s="31" t="s">
        <v>416</v>
      </c>
      <c r="G11" s="32" t="str">
        <f>VLOOKUP(F11,Data!$B$140:$C$144,2,FALSE)</f>
        <v>Xiaomi</v>
      </c>
      <c r="H11" s="32">
        <f>VLOOKUP(F11,Data!$B$140:$D$144,3,FALSE)</f>
        <v>2024</v>
      </c>
      <c r="I11" s="32">
        <f t="shared" ca="1" si="2"/>
        <v>2</v>
      </c>
      <c r="J11" s="31" t="s">
        <v>418</v>
      </c>
      <c r="K11" s="31"/>
      <c r="L11" s="31" t="s">
        <v>48</v>
      </c>
      <c r="M11" s="31"/>
    </row>
    <row r="12" spans="1:14">
      <c r="A12" s="5"/>
      <c r="B12" s="6"/>
      <c r="C12" s="6"/>
      <c r="D12" s="6" t="s">
        <v>15</v>
      </c>
      <c r="E12" s="12"/>
      <c r="F12" s="31" t="s">
        <v>416</v>
      </c>
      <c r="G12" s="32" t="str">
        <f>VLOOKUP(F12,Data!$B$140:$C$144,2,FALSE)</f>
        <v>Xiaomi</v>
      </c>
      <c r="H12" s="32">
        <f>VLOOKUP(F12,Data!$B$140:$D$144,3,FALSE)</f>
        <v>2024</v>
      </c>
      <c r="I12" s="32">
        <f t="shared" ca="1" si="2"/>
        <v>2</v>
      </c>
      <c r="J12" s="31" t="s">
        <v>419</v>
      </c>
      <c r="K12" s="31"/>
      <c r="L12" s="31"/>
      <c r="M12" s="31" t="s">
        <v>28</v>
      </c>
    </row>
    <row r="13" spans="1:14">
      <c r="A13" s="5"/>
      <c r="B13" s="6"/>
      <c r="C13" s="6"/>
      <c r="D13" s="6" t="s">
        <v>15</v>
      </c>
      <c r="E13" s="12"/>
      <c r="F13" s="31" t="s">
        <v>416</v>
      </c>
      <c r="G13" s="32" t="str">
        <f>VLOOKUP(F13,Data!$B$140:$C$144,2,FALSE)</f>
        <v>Xiaomi</v>
      </c>
      <c r="H13" s="32">
        <f>VLOOKUP(F13,Data!$B$140:$D$144,3,FALSE)</f>
        <v>2024</v>
      </c>
      <c r="I13" s="32">
        <f t="shared" ca="1" si="2"/>
        <v>2</v>
      </c>
      <c r="J13" s="31"/>
      <c r="K13" s="31"/>
      <c r="L13" s="31"/>
      <c r="M13" s="31" t="s">
        <v>79</v>
      </c>
    </row>
    <row r="14" spans="1:14">
      <c r="A14" s="5">
        <v>6</v>
      </c>
      <c r="B14" s="6" t="s">
        <v>51</v>
      </c>
      <c r="C14" s="6" t="s">
        <v>52</v>
      </c>
      <c r="D14" s="6" t="s">
        <v>15</v>
      </c>
      <c r="E14" s="12" t="s">
        <v>63</v>
      </c>
      <c r="F14" s="31" t="s">
        <v>411</v>
      </c>
      <c r="G14" s="32" t="str">
        <f>VLOOKUP(F14,Data!$B$140:$C$144,2,FALSE)</f>
        <v>Xiaomi</v>
      </c>
      <c r="H14" s="32">
        <f>VLOOKUP(F14,Data!$B$140:$D$144,3,FALSE)</f>
        <v>2023</v>
      </c>
      <c r="I14" s="32">
        <f t="shared" ca="1" si="0"/>
        <v>3</v>
      </c>
      <c r="J14" s="31"/>
      <c r="K14" s="31"/>
      <c r="L14" s="31" t="s">
        <v>51</v>
      </c>
      <c r="M14" s="31"/>
    </row>
    <row r="15" spans="1:14">
      <c r="A15" s="5">
        <v>7</v>
      </c>
      <c r="B15" s="6" t="s">
        <v>58</v>
      </c>
      <c r="C15" s="6" t="s">
        <v>59</v>
      </c>
      <c r="D15" s="6" t="s">
        <v>15</v>
      </c>
      <c r="E15" s="12" t="s">
        <v>63</v>
      </c>
      <c r="F15" s="31" t="s">
        <v>416</v>
      </c>
      <c r="G15" s="32" t="str">
        <f>VLOOKUP(F15,Data!$B$140:$C$144,2,FALSE)</f>
        <v>Xiaomi</v>
      </c>
      <c r="H15" s="32">
        <f>VLOOKUP(F15,Data!$B$140:$D$144,3,FALSE)</f>
        <v>2024</v>
      </c>
      <c r="I15" s="32">
        <f t="shared" ca="1" si="0"/>
        <v>2</v>
      </c>
      <c r="J15" s="31"/>
      <c r="K15" s="31"/>
      <c r="L15" s="31" t="s">
        <v>58</v>
      </c>
      <c r="M15" s="31"/>
    </row>
    <row r="16" spans="1:14">
      <c r="A16" s="5">
        <v>8</v>
      </c>
      <c r="B16" s="6" t="s">
        <v>61</v>
      </c>
      <c r="C16" s="6" t="s">
        <v>62</v>
      </c>
      <c r="D16" s="6" t="s">
        <v>15</v>
      </c>
      <c r="E16" s="12" t="s">
        <v>63</v>
      </c>
      <c r="F16" s="31" t="s">
        <v>411</v>
      </c>
      <c r="G16" s="32" t="str">
        <f>VLOOKUP(F16,Data!$B$140:$C$144,2,FALSE)</f>
        <v>Xiaomi</v>
      </c>
      <c r="H16" s="32">
        <f>VLOOKUP(F16,Data!$B$140:$D$144,3,FALSE)</f>
        <v>2023</v>
      </c>
      <c r="I16" s="32">
        <f t="shared" ca="1" si="0"/>
        <v>3</v>
      </c>
      <c r="J16" s="31"/>
      <c r="K16" s="31"/>
      <c r="L16" s="31" t="s">
        <v>61</v>
      </c>
      <c r="M16" s="31"/>
    </row>
    <row r="17" spans="1:13">
      <c r="A17" s="5"/>
      <c r="B17" s="6"/>
      <c r="C17" s="6"/>
      <c r="D17" s="6" t="s">
        <v>15</v>
      </c>
      <c r="E17" s="12"/>
      <c r="F17" s="31" t="s">
        <v>411</v>
      </c>
      <c r="G17" s="32" t="str">
        <f>VLOOKUP(F17,Data!$B$140:$C$144,2,FALSE)</f>
        <v>Xiaomi</v>
      </c>
      <c r="H17" s="32">
        <f>VLOOKUP(F17,Data!$B$140:$D$144,3,FALSE)</f>
        <v>2023</v>
      </c>
      <c r="I17" s="32">
        <f ca="1">YEAR(TODAY()) - H17</f>
        <v>3</v>
      </c>
      <c r="J17" s="31"/>
      <c r="K17" s="31"/>
      <c r="L17" s="31" t="s">
        <v>66</v>
      </c>
      <c r="M17" s="31"/>
    </row>
    <row r="18" spans="1:13">
      <c r="A18" s="5">
        <v>9</v>
      </c>
      <c r="B18" s="6" t="s">
        <v>67</v>
      </c>
      <c r="C18" s="6" t="s">
        <v>68</v>
      </c>
      <c r="D18" s="6" t="s">
        <v>15</v>
      </c>
      <c r="E18" s="12" t="s">
        <v>63</v>
      </c>
      <c r="F18" s="31" t="s">
        <v>411</v>
      </c>
      <c r="G18" s="32" t="str">
        <f>VLOOKUP(F18,Data!$B$140:$C$144,2,FALSE)</f>
        <v>Xiaomi</v>
      </c>
      <c r="H18" s="32">
        <f>VLOOKUP(F18,Data!$B$140:$D$144,3,FALSE)</f>
        <v>2023</v>
      </c>
      <c r="I18" s="32">
        <f t="shared" ca="1" si="0"/>
        <v>3</v>
      </c>
      <c r="J18" s="31"/>
      <c r="K18" s="31"/>
      <c r="L18" s="31" t="s">
        <v>67</v>
      </c>
      <c r="M18" s="31"/>
    </row>
    <row r="19" spans="1:13">
      <c r="A19" s="5">
        <v>10</v>
      </c>
      <c r="B19" s="6" t="s">
        <v>72</v>
      </c>
      <c r="C19" s="6" t="s">
        <v>73</v>
      </c>
      <c r="D19" s="6" t="s">
        <v>15</v>
      </c>
      <c r="E19" s="12" t="s">
        <v>63</v>
      </c>
      <c r="F19" s="31" t="s">
        <v>411</v>
      </c>
      <c r="G19" s="32" t="str">
        <f>VLOOKUP(F19,Data!$B$140:$C$144,2,FALSE)</f>
        <v>Xiaomi</v>
      </c>
      <c r="H19" s="32">
        <f>VLOOKUP(F19,Data!$B$140:$D$144,3,FALSE)</f>
        <v>2023</v>
      </c>
      <c r="I19" s="32">
        <f t="shared" ref="I19" ca="1" si="3">YEAR(TODAY()) - H19</f>
        <v>3</v>
      </c>
      <c r="J19" s="31" t="s">
        <v>420</v>
      </c>
      <c r="K19" s="31"/>
      <c r="L19" s="31" t="s">
        <v>79</v>
      </c>
      <c r="M19" s="31"/>
    </row>
    <row r="20" spans="1:13">
      <c r="A20" s="5"/>
      <c r="B20" s="6"/>
      <c r="C20" s="6"/>
      <c r="D20" s="6" t="s">
        <v>15</v>
      </c>
      <c r="E20" s="12"/>
      <c r="F20" s="31" t="s">
        <v>421</v>
      </c>
      <c r="G20" s="32" t="str">
        <f>VLOOKUP(F20,Data!$B$140:$C$144,2,FALSE)</f>
        <v>Samsung</v>
      </c>
      <c r="H20" s="32">
        <f>VLOOKUP(F20,Data!$B$140:$D$144,3,FALSE)</f>
        <v>2024</v>
      </c>
      <c r="I20" s="32">
        <f t="shared" ca="1" si="0"/>
        <v>2</v>
      </c>
      <c r="J20" s="31" t="s">
        <v>422</v>
      </c>
      <c r="K20" s="31"/>
      <c r="L20" s="31" t="s">
        <v>72</v>
      </c>
      <c r="M20" s="31"/>
    </row>
    <row r="21" spans="1:13">
      <c r="A21" s="5">
        <v>11</v>
      </c>
      <c r="B21" s="6" t="s">
        <v>75</v>
      </c>
      <c r="C21" s="6" t="s">
        <v>76</v>
      </c>
      <c r="D21" s="6" t="s">
        <v>15</v>
      </c>
      <c r="E21" s="12" t="s">
        <v>63</v>
      </c>
      <c r="F21" s="31" t="s">
        <v>411</v>
      </c>
      <c r="G21" s="32" t="str">
        <f>VLOOKUP(F21,Data!$B$140:$C$144,2,FALSE)</f>
        <v>Xiaomi</v>
      </c>
      <c r="H21" s="32">
        <f>VLOOKUP(F21,Data!$B$140:$D$144,3,FALSE)</f>
        <v>2023</v>
      </c>
      <c r="I21" s="32">
        <f t="shared" ca="1" si="0"/>
        <v>3</v>
      </c>
      <c r="J21" s="31"/>
      <c r="K21" s="31"/>
      <c r="L21" s="31" t="s">
        <v>75</v>
      </c>
      <c r="M21" s="31"/>
    </row>
    <row r="22" spans="1:13">
      <c r="A22" s="5"/>
      <c r="B22" s="6"/>
      <c r="C22" s="6"/>
      <c r="D22" s="6" t="s">
        <v>15</v>
      </c>
      <c r="E22" s="12"/>
      <c r="F22" s="31" t="s">
        <v>411</v>
      </c>
      <c r="G22" s="32" t="str">
        <f>VLOOKUP(F22,Data!$B$140:$C$144,2,FALSE)</f>
        <v>Xiaomi</v>
      </c>
      <c r="H22" s="32">
        <f>VLOOKUP(F22,Data!$B$140:$D$144,3,FALSE)</f>
        <v>2023</v>
      </c>
      <c r="I22" s="32">
        <f ca="1">YEAR(TODAY()) - H22</f>
        <v>3</v>
      </c>
      <c r="J22" s="31"/>
      <c r="K22" s="31"/>
      <c r="L22" s="31" t="s">
        <v>42</v>
      </c>
      <c r="M22" s="31"/>
    </row>
    <row r="23" spans="1:13">
      <c r="A23" s="5">
        <v>12</v>
      </c>
      <c r="B23" s="6" t="s">
        <v>80</v>
      </c>
      <c r="C23" s="6" t="s">
        <v>81</v>
      </c>
      <c r="D23" s="6" t="s">
        <v>15</v>
      </c>
      <c r="E23" s="12" t="s">
        <v>63</v>
      </c>
      <c r="F23" s="31" t="s">
        <v>411</v>
      </c>
      <c r="G23" s="32" t="str">
        <f>VLOOKUP(F23,Data!$B$140:$C$144,2,FALSE)</f>
        <v>Xiaomi</v>
      </c>
      <c r="H23" s="32">
        <f>VLOOKUP(F23,Data!$B$140:$D$144,3,FALSE)</f>
        <v>2023</v>
      </c>
      <c r="I23" s="32">
        <f t="shared" ca="1" si="0"/>
        <v>3</v>
      </c>
      <c r="J23" s="31"/>
      <c r="K23" s="31"/>
      <c r="L23" s="31" t="s">
        <v>80</v>
      </c>
      <c r="M23" s="31"/>
    </row>
    <row r="24" spans="1:13">
      <c r="A24" s="5"/>
      <c r="B24" s="6"/>
      <c r="C24" s="6"/>
      <c r="D24" s="6" t="s">
        <v>15</v>
      </c>
      <c r="E24" s="12"/>
      <c r="F24" s="31" t="s">
        <v>411</v>
      </c>
      <c r="G24" s="32" t="str">
        <f>VLOOKUP(F24,Data!$B$140:$C$144,2,FALSE)</f>
        <v>Xiaomi</v>
      </c>
      <c r="H24" s="32">
        <f>VLOOKUP(F24,Data!$B$140:$D$144,3,FALSE)</f>
        <v>2023</v>
      </c>
      <c r="I24" s="32">
        <f ca="1">YEAR(TODAY()) - H24</f>
        <v>3</v>
      </c>
      <c r="J24" s="31"/>
      <c r="K24" s="31"/>
      <c r="L24" s="31" t="s">
        <v>423</v>
      </c>
      <c r="M24" s="31"/>
    </row>
    <row r="25" spans="1:13">
      <c r="A25" s="5">
        <v>13</v>
      </c>
      <c r="B25" s="6" t="s">
        <v>86</v>
      </c>
      <c r="C25" s="6" t="s">
        <v>87</v>
      </c>
      <c r="D25" s="6" t="s">
        <v>15</v>
      </c>
      <c r="E25" s="12" t="s">
        <v>85</v>
      </c>
      <c r="F25" s="31" t="s">
        <v>416</v>
      </c>
      <c r="G25" s="32" t="str">
        <f>VLOOKUP(F25,Data!$B$140:$C$144,2,FALSE)</f>
        <v>Xiaomi</v>
      </c>
      <c r="H25" s="32">
        <f>VLOOKUP(F25,Data!$B$140:$D$144,3,FALSE)</f>
        <v>2024</v>
      </c>
      <c r="I25" s="32">
        <f t="shared" ca="1" si="0"/>
        <v>2</v>
      </c>
      <c r="J25" s="31"/>
      <c r="K25" s="31"/>
      <c r="L25" s="31" t="s">
        <v>86</v>
      </c>
      <c r="M25" s="31"/>
    </row>
    <row r="26" spans="1:13">
      <c r="A26" s="5">
        <v>14</v>
      </c>
      <c r="B26" s="6" t="s">
        <v>90</v>
      </c>
      <c r="C26" s="6" t="s">
        <v>91</v>
      </c>
      <c r="D26" s="6" t="s">
        <v>15</v>
      </c>
      <c r="E26" s="12" t="s">
        <v>85</v>
      </c>
      <c r="F26" s="31" t="s">
        <v>416</v>
      </c>
      <c r="G26" s="32" t="str">
        <f>VLOOKUP(F26,Data!$B$140:$C$144,2,FALSE)</f>
        <v>Xiaomi</v>
      </c>
      <c r="H26" s="32">
        <f>VLOOKUP(F26,Data!$B$140:$D$144,3,FALSE)</f>
        <v>2024</v>
      </c>
      <c r="I26" s="32">
        <f t="shared" ca="1" si="0"/>
        <v>2</v>
      </c>
      <c r="J26" s="31"/>
      <c r="K26" s="31"/>
      <c r="L26" s="31" t="s">
        <v>90</v>
      </c>
      <c r="M26" s="31"/>
    </row>
    <row r="27" spans="1:13">
      <c r="A27" s="5">
        <v>15</v>
      </c>
      <c r="B27" s="6" t="s">
        <v>93</v>
      </c>
      <c r="C27" s="6" t="s">
        <v>94</v>
      </c>
      <c r="D27" s="6" t="s">
        <v>15</v>
      </c>
      <c r="E27" s="12" t="s">
        <v>95</v>
      </c>
      <c r="F27" s="31" t="s">
        <v>411</v>
      </c>
      <c r="G27" s="32" t="str">
        <f>VLOOKUP(F27,Data!$B$140:$C$144,2,FALSE)</f>
        <v>Xiaomi</v>
      </c>
      <c r="H27" s="32">
        <f>VLOOKUP(F27,Data!$B$140:$D$144,3,FALSE)</f>
        <v>2023</v>
      </c>
      <c r="I27" s="32">
        <f t="shared" ca="1" si="0"/>
        <v>3</v>
      </c>
      <c r="J27" s="31" t="s">
        <v>424</v>
      </c>
      <c r="K27" s="31"/>
      <c r="L27" s="31" t="s">
        <v>93</v>
      </c>
      <c r="M27" s="31"/>
    </row>
    <row r="28" spans="1:13">
      <c r="A28" s="5">
        <v>16</v>
      </c>
      <c r="B28" s="6" t="s">
        <v>97</v>
      </c>
      <c r="C28" s="6" t="s">
        <v>98</v>
      </c>
      <c r="D28" s="6" t="s">
        <v>99</v>
      </c>
      <c r="E28" s="12" t="s">
        <v>100</v>
      </c>
      <c r="F28" s="31" t="s">
        <v>421</v>
      </c>
      <c r="G28" s="32" t="str">
        <f>VLOOKUP(F28,Data!$B$140:$C$144,2,FALSE)</f>
        <v>Samsung</v>
      </c>
      <c r="H28" s="32">
        <f>VLOOKUP(F28,Data!$B$140:$D$144,3,FALSE)</f>
        <v>2024</v>
      </c>
      <c r="I28" s="32">
        <f t="shared" ca="1" si="0"/>
        <v>2</v>
      </c>
      <c r="J28" s="31"/>
      <c r="K28" s="31"/>
      <c r="L28" s="11"/>
      <c r="M28" s="31"/>
    </row>
    <row r="29" spans="1:13">
      <c r="A29" s="5">
        <v>17</v>
      </c>
      <c r="B29" s="6" t="s">
        <v>113</v>
      </c>
      <c r="C29" s="6" t="s">
        <v>114</v>
      </c>
      <c r="D29" s="6" t="s">
        <v>99</v>
      </c>
      <c r="E29" s="12" t="s">
        <v>115</v>
      </c>
      <c r="F29" s="31" t="s">
        <v>411</v>
      </c>
      <c r="G29" s="32" t="str">
        <f>VLOOKUP(F29,Data!$B$140:$C$144,2,FALSE)</f>
        <v>Xiaomi</v>
      </c>
      <c r="H29" s="32">
        <f>VLOOKUP(F29,Data!$B$140:$D$144,3,FALSE)</f>
        <v>2023</v>
      </c>
      <c r="I29" s="32">
        <f t="shared" ca="1" si="0"/>
        <v>3</v>
      </c>
      <c r="J29" s="31"/>
      <c r="K29" s="31"/>
      <c r="L29" s="83" t="s">
        <v>102</v>
      </c>
      <c r="M29" s="31"/>
    </row>
    <row r="30" spans="1:13">
      <c r="A30" s="5">
        <v>18</v>
      </c>
      <c r="B30" s="84" t="s">
        <v>425</v>
      </c>
      <c r="C30" s="84" t="s">
        <v>426</v>
      </c>
      <c r="D30" s="84" t="s">
        <v>99</v>
      </c>
      <c r="E30" s="95" t="s">
        <v>53</v>
      </c>
      <c r="F30" s="94" t="s">
        <v>411</v>
      </c>
      <c r="G30" s="96" t="str">
        <f>VLOOKUP(F30,Data!$B$140:$C$144,2,FALSE)</f>
        <v>Xiaomi</v>
      </c>
      <c r="H30" s="96">
        <f>VLOOKUP(F30,Data!$B$140:$D$144,3,FALSE)</f>
        <v>2023</v>
      </c>
      <c r="I30" s="96">
        <f t="shared" ca="1" si="0"/>
        <v>3</v>
      </c>
      <c r="J30" s="31"/>
      <c r="K30" s="31"/>
      <c r="L30" s="11"/>
      <c r="M30" s="31"/>
    </row>
    <row r="31" spans="1:13">
      <c r="A31" s="5">
        <v>19</v>
      </c>
      <c r="B31" s="84" t="s">
        <v>190</v>
      </c>
      <c r="C31" s="84" t="s">
        <v>191</v>
      </c>
      <c r="D31" s="84" t="s">
        <v>99</v>
      </c>
      <c r="E31" s="95" t="s">
        <v>63</v>
      </c>
      <c r="F31" s="94" t="s">
        <v>411</v>
      </c>
      <c r="G31" s="96" t="str">
        <f>VLOOKUP(F31,Data!$B$140:$C$144,2,FALSE)</f>
        <v>Xiaomi</v>
      </c>
      <c r="H31" s="96">
        <f>VLOOKUP(F31,Data!$B$140:$D$144,3,FALSE)</f>
        <v>2023</v>
      </c>
      <c r="I31" s="96">
        <f t="shared" ca="1" si="0"/>
        <v>3</v>
      </c>
      <c r="J31" s="31"/>
      <c r="K31" s="31"/>
      <c r="L31" s="11"/>
      <c r="M31" s="31"/>
    </row>
    <row r="32" spans="1:13">
      <c r="A32" s="5">
        <v>20</v>
      </c>
      <c r="B32" s="6" t="s">
        <v>127</v>
      </c>
      <c r="C32" s="6" t="s">
        <v>128</v>
      </c>
      <c r="D32" s="6" t="s">
        <v>99</v>
      </c>
      <c r="E32" s="12" t="s">
        <v>63</v>
      </c>
      <c r="F32" s="31" t="s">
        <v>411</v>
      </c>
      <c r="G32" s="32" t="str">
        <f>VLOOKUP(F32,Data!$B$140:$C$144,2,FALSE)</f>
        <v>Xiaomi</v>
      </c>
      <c r="H32" s="32">
        <f>VLOOKUP(F32,Data!$B$140:$D$144,3,FALSE)</f>
        <v>2023</v>
      </c>
      <c r="I32" s="32">
        <f t="shared" ca="1" si="0"/>
        <v>3</v>
      </c>
      <c r="J32" s="31"/>
      <c r="K32" s="31"/>
      <c r="L32" s="11"/>
      <c r="M32" s="31"/>
    </row>
    <row r="33" spans="1:13">
      <c r="A33" s="5">
        <v>21</v>
      </c>
      <c r="B33" s="6" t="s">
        <v>134</v>
      </c>
      <c r="C33" s="6" t="s">
        <v>135</v>
      </c>
      <c r="D33" s="6" t="s">
        <v>99</v>
      </c>
      <c r="E33" s="12" t="s">
        <v>63</v>
      </c>
      <c r="F33" s="31" t="s">
        <v>411</v>
      </c>
      <c r="G33" s="32" t="str">
        <f>VLOOKUP(F33,Data!$B$140:$C$144,2,FALSE)</f>
        <v>Xiaomi</v>
      </c>
      <c r="H33" s="32">
        <f>VLOOKUP(F33,Data!$B$140:$D$144,3,FALSE)</f>
        <v>2023</v>
      </c>
      <c r="I33" s="32">
        <f t="shared" ca="1" si="0"/>
        <v>3</v>
      </c>
      <c r="J33" s="31"/>
      <c r="K33" s="31"/>
      <c r="L33" s="11"/>
      <c r="M33" s="31"/>
    </row>
    <row r="34" spans="1:13">
      <c r="A34" s="5">
        <v>22</v>
      </c>
      <c r="B34" s="6" t="s">
        <v>140</v>
      </c>
      <c r="C34" s="6" t="s">
        <v>141</v>
      </c>
      <c r="D34" s="6" t="s">
        <v>99</v>
      </c>
      <c r="E34" s="12" t="s">
        <v>63</v>
      </c>
      <c r="F34" s="31" t="s">
        <v>411</v>
      </c>
      <c r="G34" s="32" t="str">
        <f>VLOOKUP(F34,Data!$B$140:$C$144,2,FALSE)</f>
        <v>Xiaomi</v>
      </c>
      <c r="H34" s="32">
        <f>VLOOKUP(F34,Data!$B$140:$D$144,3,FALSE)</f>
        <v>2023</v>
      </c>
      <c r="I34" s="32">
        <f t="shared" ca="1" si="0"/>
        <v>3</v>
      </c>
      <c r="J34" s="31"/>
      <c r="K34" s="31"/>
      <c r="L34" s="11"/>
      <c r="M34" s="31"/>
    </row>
    <row r="35" spans="1:13">
      <c r="A35" s="5">
        <v>23</v>
      </c>
      <c r="B35" s="6" t="s">
        <v>145</v>
      </c>
      <c r="C35" s="6" t="s">
        <v>146</v>
      </c>
      <c r="D35" s="6" t="s">
        <v>99</v>
      </c>
      <c r="E35" s="12" t="s">
        <v>85</v>
      </c>
      <c r="F35" s="31" t="s">
        <v>421</v>
      </c>
      <c r="G35" s="32" t="str">
        <f>VLOOKUP(F35,Data!$B$140:$C$144,2,FALSE)</f>
        <v>Samsung</v>
      </c>
      <c r="H35" s="32">
        <f>VLOOKUP(F35,Data!$B$140:$D$144,3,FALSE)</f>
        <v>2024</v>
      </c>
      <c r="I35" s="32">
        <f t="shared" ca="1" si="0"/>
        <v>2</v>
      </c>
      <c r="J35" s="31"/>
      <c r="K35" s="31"/>
      <c r="L35" s="11"/>
      <c r="M35" s="31"/>
    </row>
    <row r="36" spans="1:13">
      <c r="A36" s="5">
        <v>24</v>
      </c>
      <c r="B36" s="6" t="s">
        <v>149</v>
      </c>
      <c r="C36" s="6" t="s">
        <v>150</v>
      </c>
      <c r="D36" s="6" t="s">
        <v>99</v>
      </c>
      <c r="E36" s="12" t="s">
        <v>427</v>
      </c>
      <c r="F36" s="31" t="s">
        <v>411</v>
      </c>
      <c r="G36" s="32" t="str">
        <f>VLOOKUP(F36,Data!$B$140:$C$144,2,FALSE)</f>
        <v>Xiaomi</v>
      </c>
      <c r="H36" s="32">
        <f>VLOOKUP(F36,Data!$B$140:$D$144,3,FALSE)</f>
        <v>2023</v>
      </c>
      <c r="I36" s="32">
        <f t="shared" ca="1" si="0"/>
        <v>3</v>
      </c>
      <c r="J36" s="31"/>
      <c r="K36" s="31"/>
      <c r="L36" s="11"/>
      <c r="M36" s="31"/>
    </row>
    <row r="37" spans="1:13">
      <c r="A37" s="5">
        <v>26</v>
      </c>
      <c r="B37" s="6" t="s">
        <v>102</v>
      </c>
      <c r="C37" s="6" t="s">
        <v>428</v>
      </c>
      <c r="D37" s="6" t="s">
        <v>99</v>
      </c>
      <c r="E37" s="12" t="s">
        <v>85</v>
      </c>
      <c r="F37" s="31" t="s">
        <v>416</v>
      </c>
      <c r="G37" s="32" t="s">
        <v>429</v>
      </c>
      <c r="H37" s="32">
        <v>2025</v>
      </c>
      <c r="I37" s="32">
        <v>1</v>
      </c>
      <c r="J37" s="31" t="s">
        <v>430</v>
      </c>
      <c r="K37" s="31"/>
      <c r="L37" s="11"/>
      <c r="M37" s="31"/>
    </row>
    <row r="38" spans="1:13" ht="15.75">
      <c r="A38" s="5"/>
      <c r="B38" s="6" t="s">
        <v>154</v>
      </c>
      <c r="C38" s="6" t="s">
        <v>155</v>
      </c>
      <c r="D38" s="6" t="s">
        <v>99</v>
      </c>
      <c r="E38" s="12" t="s">
        <v>53</v>
      </c>
      <c r="F38" s="31" t="s">
        <v>411</v>
      </c>
      <c r="G38" s="32" t="s">
        <v>431</v>
      </c>
      <c r="H38" s="32">
        <v>2023</v>
      </c>
      <c r="I38" s="32">
        <f ca="1">YEAR(TODAY()) - H38</f>
        <v>3</v>
      </c>
      <c r="J38" s="112" t="s">
        <v>432</v>
      </c>
      <c r="K38" s="31"/>
      <c r="L38" s="11"/>
      <c r="M38" s="31"/>
    </row>
    <row r="39" spans="1:13">
      <c r="A39" s="5">
        <v>27</v>
      </c>
      <c r="B39" s="6" t="s">
        <v>158</v>
      </c>
      <c r="C39" s="6" t="s">
        <v>159</v>
      </c>
      <c r="D39" s="6" t="s">
        <v>160</v>
      </c>
      <c r="E39" s="12" t="s">
        <v>16</v>
      </c>
      <c r="F39" s="31" t="s">
        <v>410</v>
      </c>
      <c r="G39" s="32" t="str">
        <f>VLOOKUP(F39,Data!$B$140:$C$144,2,FALSE)</f>
        <v>Apple</v>
      </c>
      <c r="H39" s="32">
        <f>VLOOKUP(F39,Data!$B$140:$D$144,3,FALSE)</f>
        <v>2023</v>
      </c>
      <c r="I39" s="32">
        <f t="shared" ca="1" si="0"/>
        <v>3</v>
      </c>
      <c r="J39" s="31"/>
      <c r="K39" s="31"/>
      <c r="L39" s="11" t="s">
        <v>205</v>
      </c>
      <c r="M39" s="31"/>
    </row>
    <row r="40" spans="1:13">
      <c r="A40" s="5">
        <v>29</v>
      </c>
      <c r="B40" s="6" t="s">
        <v>168</v>
      </c>
      <c r="C40" s="6" t="s">
        <v>169</v>
      </c>
      <c r="D40" s="6" t="s">
        <v>160</v>
      </c>
      <c r="E40" s="12" t="s">
        <v>433</v>
      </c>
      <c r="F40" s="31" t="s">
        <v>411</v>
      </c>
      <c r="G40" s="32" t="str">
        <f>VLOOKUP(F40,Data!$B$140:$C$144,2,FALSE)</f>
        <v>Xiaomi</v>
      </c>
      <c r="H40" s="32">
        <f>VLOOKUP(F40,Data!$B$140:$D$144,3,FALSE)</f>
        <v>2023</v>
      </c>
      <c r="I40" s="32">
        <f t="shared" ca="1" si="0"/>
        <v>3</v>
      </c>
      <c r="J40" s="31" t="s">
        <v>434</v>
      </c>
      <c r="K40" s="31"/>
      <c r="L40" s="11" t="s">
        <v>168</v>
      </c>
      <c r="M40" s="31"/>
    </row>
    <row r="41" spans="1:13">
      <c r="A41" s="5">
        <v>30</v>
      </c>
      <c r="B41" s="6" t="s">
        <v>173</v>
      </c>
      <c r="C41" s="6" t="s">
        <v>174</v>
      </c>
      <c r="D41" s="6" t="s">
        <v>160</v>
      </c>
      <c r="E41" s="12" t="s">
        <v>433</v>
      </c>
      <c r="F41" s="31" t="s">
        <v>410</v>
      </c>
      <c r="G41" s="32" t="str">
        <f>VLOOKUP(F41,Data!$B$140:$C$144,2,FALSE)</f>
        <v>Apple</v>
      </c>
      <c r="H41" s="32">
        <f>VLOOKUP(F41,Data!$B$140:$D$144,3,FALSE)</f>
        <v>2023</v>
      </c>
      <c r="I41" s="32">
        <f t="shared" ca="1" si="0"/>
        <v>3</v>
      </c>
      <c r="J41" s="31"/>
      <c r="K41" s="31"/>
      <c r="L41" s="11" t="s">
        <v>173</v>
      </c>
      <c r="M41" s="31"/>
    </row>
    <row r="42" spans="1:13">
      <c r="A42" s="5">
        <v>31</v>
      </c>
      <c r="B42" s="6" t="s">
        <v>184</v>
      </c>
      <c r="C42" s="6" t="s">
        <v>185</v>
      </c>
      <c r="D42" s="6" t="s">
        <v>160</v>
      </c>
      <c r="E42" s="12" t="s">
        <v>433</v>
      </c>
      <c r="F42" s="31" t="s">
        <v>410</v>
      </c>
      <c r="G42" s="32" t="str">
        <f>VLOOKUP(F42,Data!$B$140:$C$144,2,FALSE)</f>
        <v>Apple</v>
      </c>
      <c r="H42" s="32">
        <f>VLOOKUP(F42,Data!$B$140:$D$144,3,FALSE)</f>
        <v>2023</v>
      </c>
      <c r="I42" s="32">
        <f t="shared" ca="1" si="0"/>
        <v>3</v>
      </c>
      <c r="J42" s="31"/>
      <c r="K42" s="31"/>
      <c r="L42" s="11" t="s">
        <v>184</v>
      </c>
      <c r="M42" s="31"/>
    </row>
    <row r="43" spans="1:13">
      <c r="A43" s="5">
        <v>35</v>
      </c>
      <c r="B43" s="6" t="s">
        <v>187</v>
      </c>
      <c r="C43" s="6" t="s">
        <v>188</v>
      </c>
      <c r="D43" s="6" t="s">
        <v>160</v>
      </c>
      <c r="E43" s="12" t="s">
        <v>435</v>
      </c>
      <c r="F43" s="31" t="s">
        <v>411</v>
      </c>
      <c r="G43" s="32" t="str">
        <f>VLOOKUP(F43,Data!$B$140:$C$144,2,FALSE)</f>
        <v>Xiaomi</v>
      </c>
      <c r="H43" s="32">
        <f>VLOOKUP(F43,Data!$B$140:$D$144,3,FALSE)</f>
        <v>2023</v>
      </c>
      <c r="I43" s="32">
        <f t="shared" ca="1" si="0"/>
        <v>3</v>
      </c>
      <c r="J43" s="31" t="s">
        <v>436</v>
      </c>
      <c r="K43" s="31"/>
      <c r="L43" s="11" t="s">
        <v>187</v>
      </c>
      <c r="M43" s="31"/>
    </row>
    <row r="44" spans="1:13">
      <c r="A44" s="5">
        <v>36</v>
      </c>
      <c r="B44" s="92" t="s">
        <v>219</v>
      </c>
      <c r="C44" s="104" t="s">
        <v>220</v>
      </c>
      <c r="D44" s="6" t="s">
        <v>160</v>
      </c>
      <c r="E44" s="12" t="s">
        <v>435</v>
      </c>
      <c r="F44" s="31" t="s">
        <v>411</v>
      </c>
      <c r="G44" s="32" t="str">
        <f>VLOOKUP(F44,Data!$B$140:$C$144,2,FALSE)</f>
        <v>Xiaomi</v>
      </c>
      <c r="H44" s="32">
        <f>VLOOKUP(F44,Data!$B$140:$D$144,3,FALSE)</f>
        <v>2023</v>
      </c>
      <c r="I44" s="32">
        <f t="shared" ca="1" si="0"/>
        <v>3</v>
      </c>
      <c r="J44" s="31" t="s">
        <v>437</v>
      </c>
      <c r="K44" s="31"/>
      <c r="L44" s="11" t="s">
        <v>219</v>
      </c>
      <c r="M44" s="31"/>
    </row>
    <row r="45" spans="1:13">
      <c r="A45" s="5">
        <v>37</v>
      </c>
      <c r="B45" s="6" t="s">
        <v>172</v>
      </c>
      <c r="C45" s="6" t="s">
        <v>202</v>
      </c>
      <c r="D45" s="6" t="s">
        <v>160</v>
      </c>
      <c r="E45" s="12" t="s">
        <v>435</v>
      </c>
      <c r="F45" s="31" t="s">
        <v>411</v>
      </c>
      <c r="G45" s="32" t="str">
        <f>VLOOKUP(F45,Data!$B$140:$C$144,2,FALSE)</f>
        <v>Xiaomi</v>
      </c>
      <c r="H45" s="32">
        <f>VLOOKUP(F45,Data!$B$140:$D$144,3,FALSE)</f>
        <v>2023</v>
      </c>
      <c r="I45" s="32">
        <f t="shared" ca="1" si="0"/>
        <v>3</v>
      </c>
      <c r="J45" s="31" t="s">
        <v>438</v>
      </c>
      <c r="K45" s="31"/>
      <c r="L45" s="11" t="s">
        <v>172</v>
      </c>
      <c r="M45" s="31"/>
    </row>
    <row r="46" spans="1:13">
      <c r="A46" s="5"/>
      <c r="B46" s="6"/>
      <c r="C46" s="6"/>
      <c r="D46" s="6"/>
      <c r="E46" s="12"/>
      <c r="F46" s="31" t="s">
        <v>410</v>
      </c>
      <c r="G46" s="32" t="str">
        <f>VLOOKUP(F46,Data!$B$140:$C$144,2,FALSE)</f>
        <v>Apple</v>
      </c>
      <c r="H46" s="32">
        <f>VLOOKUP(F46,Data!$B$140:$D$144,3,FALSE)</f>
        <v>2023</v>
      </c>
      <c r="I46" s="32">
        <f t="shared" ref="I46" ca="1" si="4">YEAR(TODAY()) - H46</f>
        <v>3</v>
      </c>
      <c r="J46" s="31"/>
      <c r="K46" s="31"/>
      <c r="L46" s="11" t="s">
        <v>172</v>
      </c>
      <c r="M46" s="31"/>
    </row>
    <row r="47" spans="1:13">
      <c r="A47" s="5">
        <v>38</v>
      </c>
      <c r="B47" s="6" t="s">
        <v>205</v>
      </c>
      <c r="C47" s="6" t="s">
        <v>206</v>
      </c>
      <c r="D47" s="6" t="s">
        <v>160</v>
      </c>
      <c r="E47" s="12" t="s">
        <v>435</v>
      </c>
      <c r="F47" s="31" t="s">
        <v>411</v>
      </c>
      <c r="G47" s="32" t="str">
        <f>VLOOKUP(F47,Data!$B$140:$C$144,2,FALSE)</f>
        <v>Xiaomi</v>
      </c>
      <c r="H47" s="32">
        <f>VLOOKUP(F47,Data!$B$140:$D$144,3,FALSE)</f>
        <v>2023</v>
      </c>
      <c r="I47" s="32">
        <f t="shared" ca="1" si="0"/>
        <v>3</v>
      </c>
      <c r="J47" s="31" t="s">
        <v>439</v>
      </c>
      <c r="K47" s="31"/>
      <c r="L47" s="11" t="s">
        <v>167</v>
      </c>
      <c r="M47" s="31"/>
    </row>
    <row r="48" spans="1:13">
      <c r="A48" s="5">
        <v>39</v>
      </c>
      <c r="B48" s="6" t="s">
        <v>209</v>
      </c>
      <c r="C48" s="6" t="s">
        <v>210</v>
      </c>
      <c r="D48" s="6" t="s">
        <v>160</v>
      </c>
      <c r="E48" s="12" t="s">
        <v>435</v>
      </c>
      <c r="F48" s="31" t="s">
        <v>411</v>
      </c>
      <c r="G48" s="32" t="str">
        <f>VLOOKUP(F48,Data!$B$140:$C$144,2,FALSE)</f>
        <v>Xiaomi</v>
      </c>
      <c r="H48" s="32">
        <f>VLOOKUP(F48,Data!$B$140:$D$144,3,FALSE)</f>
        <v>2023</v>
      </c>
      <c r="I48" s="32">
        <f t="shared" ca="1" si="0"/>
        <v>3</v>
      </c>
      <c r="J48" s="31" t="s">
        <v>440</v>
      </c>
      <c r="K48" s="31"/>
      <c r="L48" s="11" t="s">
        <v>209</v>
      </c>
      <c r="M48" s="31"/>
    </row>
    <row r="49" spans="1:13">
      <c r="A49" s="5">
        <v>40</v>
      </c>
      <c r="B49" s="6" t="s">
        <v>214</v>
      </c>
      <c r="C49" s="6" t="s">
        <v>215</v>
      </c>
      <c r="D49" s="6" t="s">
        <v>160</v>
      </c>
      <c r="E49" s="12" t="s">
        <v>435</v>
      </c>
      <c r="F49" s="31" t="s">
        <v>411</v>
      </c>
      <c r="G49" s="32" t="str">
        <f>VLOOKUP(F49,Data!$B$140:$C$144,2,FALSE)</f>
        <v>Xiaomi</v>
      </c>
      <c r="H49" s="32">
        <f>VLOOKUP(F49,Data!$B$140:$D$144,3,FALSE)</f>
        <v>2023</v>
      </c>
      <c r="I49" s="32">
        <f t="shared" ca="1" si="0"/>
        <v>3</v>
      </c>
      <c r="J49" s="31" t="s">
        <v>441</v>
      </c>
      <c r="K49" s="31"/>
      <c r="L49" s="11" t="s">
        <v>214</v>
      </c>
      <c r="M49" s="31"/>
    </row>
    <row r="50" spans="1:13">
      <c r="A50" s="5">
        <v>42</v>
      </c>
      <c r="B50" s="6" t="s">
        <v>227</v>
      </c>
      <c r="C50" s="6" t="s">
        <v>228</v>
      </c>
      <c r="D50" s="6" t="s">
        <v>229</v>
      </c>
      <c r="E50" s="12" t="s">
        <v>230</v>
      </c>
      <c r="F50" s="31" t="s">
        <v>416</v>
      </c>
      <c r="G50" s="32" t="str">
        <f>VLOOKUP(F50,Data!$B$140:$C$144,2,FALSE)</f>
        <v>Xiaomi</v>
      </c>
      <c r="H50" s="32">
        <f>VLOOKUP(F50,Data!$B$140:$D$144,3,FALSE)</f>
        <v>2024</v>
      </c>
      <c r="I50" s="32">
        <f t="shared" ca="1" si="0"/>
        <v>2</v>
      </c>
      <c r="J50" s="31" t="s">
        <v>442</v>
      </c>
      <c r="K50" s="31"/>
      <c r="L50" s="11" t="s">
        <v>235</v>
      </c>
      <c r="M50" s="31"/>
    </row>
    <row r="51" spans="1:13">
      <c r="A51" s="5">
        <v>43</v>
      </c>
      <c r="B51" s="6" t="s">
        <v>236</v>
      </c>
      <c r="C51" s="6" t="s">
        <v>237</v>
      </c>
      <c r="D51" s="6" t="s">
        <v>229</v>
      </c>
      <c r="E51" s="12" t="s">
        <v>31</v>
      </c>
      <c r="F51" s="31" t="s">
        <v>416</v>
      </c>
      <c r="G51" s="32" t="str">
        <f>VLOOKUP(F51,Data!$B$140:$C$144,2,FALSE)</f>
        <v>Xiaomi</v>
      </c>
      <c r="H51" s="32">
        <f>VLOOKUP(F51,Data!$B$140:$D$144,3,FALSE)</f>
        <v>2024</v>
      </c>
      <c r="I51" s="32">
        <f t="shared" ca="1" si="0"/>
        <v>2</v>
      </c>
      <c r="J51" s="31" t="s">
        <v>443</v>
      </c>
      <c r="K51" s="31"/>
      <c r="L51" s="11" t="s">
        <v>236</v>
      </c>
      <c r="M51" s="31"/>
    </row>
    <row r="52" spans="1:13">
      <c r="A52" s="5">
        <v>44</v>
      </c>
      <c r="B52" s="6" t="s">
        <v>239</v>
      </c>
      <c r="C52" s="6" t="s">
        <v>240</v>
      </c>
      <c r="D52" s="6" t="s">
        <v>229</v>
      </c>
      <c r="E52" s="12" t="s">
        <v>31</v>
      </c>
      <c r="F52" s="31" t="s">
        <v>416</v>
      </c>
      <c r="G52" s="32" t="str">
        <f>VLOOKUP(F52,Data!$B$140:$C$144,2,FALSE)</f>
        <v>Xiaomi</v>
      </c>
      <c r="H52" s="32">
        <f>VLOOKUP(F52,Data!$B$140:$D$144,3,FALSE)</f>
        <v>2024</v>
      </c>
      <c r="I52" s="32">
        <f t="shared" ca="1" si="0"/>
        <v>2</v>
      </c>
      <c r="J52" s="31" t="s">
        <v>444</v>
      </c>
      <c r="K52" s="31"/>
      <c r="L52" s="11" t="s">
        <v>239</v>
      </c>
      <c r="M52" s="31"/>
    </row>
    <row r="53" spans="1:13">
      <c r="A53" s="5">
        <v>45</v>
      </c>
      <c r="B53" s="6" t="s">
        <v>241</v>
      </c>
      <c r="C53" s="6" t="s">
        <v>242</v>
      </c>
      <c r="D53" s="6" t="s">
        <v>229</v>
      </c>
      <c r="E53" s="12" t="s">
        <v>63</v>
      </c>
      <c r="F53" s="31" t="s">
        <v>416</v>
      </c>
      <c r="G53" s="32" t="str">
        <f>VLOOKUP(F53,Data!$B$140:$C$144,2,FALSE)</f>
        <v>Xiaomi</v>
      </c>
      <c r="H53" s="32">
        <f>VLOOKUP(F53,Data!$B$140:$D$144,3,FALSE)</f>
        <v>2024</v>
      </c>
      <c r="I53" s="32">
        <f t="shared" ca="1" si="0"/>
        <v>2</v>
      </c>
      <c r="J53" s="31" t="s">
        <v>445</v>
      </c>
      <c r="K53" s="31"/>
      <c r="L53" s="11"/>
      <c r="M53" s="31"/>
    </row>
    <row r="54" spans="1:13">
      <c r="A54" s="5">
        <v>46</v>
      </c>
      <c r="B54" s="6" t="s">
        <v>244</v>
      </c>
      <c r="C54" s="6" t="s">
        <v>245</v>
      </c>
      <c r="D54" s="6" t="s">
        <v>229</v>
      </c>
      <c r="E54" s="12" t="s">
        <v>63</v>
      </c>
      <c r="F54" s="31" t="s">
        <v>411</v>
      </c>
      <c r="G54" s="32" t="str">
        <f>VLOOKUP(F54,Data!$B$140:$C$144,2,FALSE)</f>
        <v>Xiaomi</v>
      </c>
      <c r="H54" s="32">
        <f>VLOOKUP(F54,Data!$B$140:$D$144,3,FALSE)</f>
        <v>2023</v>
      </c>
      <c r="I54" s="32">
        <f t="shared" ca="1" si="0"/>
        <v>3</v>
      </c>
      <c r="J54" s="31" t="s">
        <v>446</v>
      </c>
      <c r="K54" s="31"/>
      <c r="L54" s="11" t="s">
        <v>244</v>
      </c>
      <c r="M54" s="31"/>
    </row>
    <row r="55" spans="1:13">
      <c r="A55" s="5">
        <v>47</v>
      </c>
      <c r="B55" s="6" t="s">
        <v>246</v>
      </c>
      <c r="C55" s="6" t="s">
        <v>247</v>
      </c>
      <c r="D55" s="6" t="s">
        <v>229</v>
      </c>
      <c r="E55" s="12" t="s">
        <v>63</v>
      </c>
      <c r="F55" s="31" t="s">
        <v>447</v>
      </c>
      <c r="G55" s="32" t="e">
        <f>VLOOKUP(F55,Data!$B$140:$C$144,2,FALSE)</f>
        <v>#N/A</v>
      </c>
      <c r="H55" s="32" t="e">
        <f>VLOOKUP(F55,Data!$B$140:$D$144,3,FALSE)</f>
        <v>#N/A</v>
      </c>
      <c r="I55" s="32" t="e">
        <f t="shared" ca="1" si="0"/>
        <v>#N/A</v>
      </c>
      <c r="J55" s="31" t="s">
        <v>448</v>
      </c>
      <c r="K55" s="31"/>
      <c r="L55" s="11" t="s">
        <v>246</v>
      </c>
      <c r="M55" s="31"/>
    </row>
    <row r="56" spans="1:13">
      <c r="A56" s="5">
        <v>48</v>
      </c>
      <c r="B56" s="6" t="s">
        <v>249</v>
      </c>
      <c r="C56" s="6" t="s">
        <v>250</v>
      </c>
      <c r="D56" s="6" t="s">
        <v>229</v>
      </c>
      <c r="E56" s="12" t="s">
        <v>63</v>
      </c>
      <c r="F56" s="31" t="s">
        <v>421</v>
      </c>
      <c r="G56" s="32" t="str">
        <f>VLOOKUP(F56,Data!$B$140:$C$144,2,FALSE)</f>
        <v>Samsung</v>
      </c>
      <c r="H56" s="32">
        <f>VLOOKUP(F56,Data!$B$140:$D$144,3,FALSE)</f>
        <v>2024</v>
      </c>
      <c r="I56" s="32">
        <f t="shared" ca="1" si="0"/>
        <v>2</v>
      </c>
      <c r="J56" s="42" t="s">
        <v>449</v>
      </c>
      <c r="K56" s="31"/>
      <c r="L56" s="11" t="s">
        <v>249</v>
      </c>
      <c r="M56" s="31"/>
    </row>
    <row r="57" spans="1:13">
      <c r="A57" s="5">
        <v>49</v>
      </c>
      <c r="B57" s="6" t="s">
        <v>252</v>
      </c>
      <c r="C57" s="6" t="s">
        <v>253</v>
      </c>
      <c r="D57" s="6" t="s">
        <v>229</v>
      </c>
      <c r="E57" s="12" t="s">
        <v>85</v>
      </c>
      <c r="F57" s="31"/>
      <c r="G57" s="32" t="e">
        <f>VLOOKUP(F57,Data!$B$140:$C$144,2,FALSE)</f>
        <v>#N/A</v>
      </c>
      <c r="H57" s="32" t="e">
        <f>VLOOKUP(F57,Data!$B$140:$D$144,3,FALSE)</f>
        <v>#N/A</v>
      </c>
      <c r="I57" s="32" t="e">
        <f t="shared" ca="1" si="0"/>
        <v>#N/A</v>
      </c>
      <c r="J57" s="31"/>
      <c r="K57" s="31"/>
      <c r="L57" s="11"/>
      <c r="M57" s="31"/>
    </row>
    <row r="58" spans="1:13">
      <c r="A58" s="5">
        <v>50</v>
      </c>
      <c r="B58" s="6" t="s">
        <v>197</v>
      </c>
      <c r="C58" s="6" t="s">
        <v>255</v>
      </c>
      <c r="D58" s="13" t="s">
        <v>229</v>
      </c>
      <c r="E58" s="12" t="s">
        <v>85</v>
      </c>
      <c r="F58" s="31" t="s">
        <v>447</v>
      </c>
      <c r="G58" s="32" t="e">
        <f>VLOOKUP(F58,Data!$B$140:$C$144,2,FALSE)</f>
        <v>#N/A</v>
      </c>
      <c r="H58" s="32" t="e">
        <f>VLOOKUP(F58,Data!$B$140:$D$144,3,FALSE)</f>
        <v>#N/A</v>
      </c>
      <c r="I58" s="32" t="e">
        <f t="shared" ca="1" si="0"/>
        <v>#N/A</v>
      </c>
      <c r="J58" s="31"/>
      <c r="K58" s="31"/>
      <c r="L58" s="11"/>
      <c r="M58" s="31"/>
    </row>
    <row r="59" spans="1:13">
      <c r="A59" s="5">
        <v>51</v>
      </c>
      <c r="B59" s="6" t="s">
        <v>256</v>
      </c>
      <c r="C59" s="12" t="s">
        <v>257</v>
      </c>
      <c r="D59" s="6" t="s">
        <v>258</v>
      </c>
      <c r="E59" s="12" t="s">
        <v>16</v>
      </c>
      <c r="F59" s="31" t="s">
        <v>416</v>
      </c>
      <c r="G59" s="32" t="str">
        <f>VLOOKUP(F59,Data!$B$140:$C$144,2,FALSE)</f>
        <v>Xiaomi</v>
      </c>
      <c r="H59" s="32">
        <f>VLOOKUP(F59,Data!$B$140:$D$144,3,FALSE)</f>
        <v>2024</v>
      </c>
      <c r="I59" s="32">
        <f t="shared" ref="I59:I71" ca="1" si="5">YEAR(TODAY()) - H59</f>
        <v>2</v>
      </c>
      <c r="J59" s="31"/>
      <c r="K59" s="31"/>
      <c r="L59" s="11"/>
      <c r="M59" s="31"/>
    </row>
    <row r="60" spans="1:13">
      <c r="A60" s="5">
        <v>52</v>
      </c>
      <c r="B60" s="6" t="s">
        <v>261</v>
      </c>
      <c r="C60" s="12" t="s">
        <v>262</v>
      </c>
      <c r="D60" s="6" t="s">
        <v>258</v>
      </c>
      <c r="E60" s="12" t="s">
        <v>31</v>
      </c>
      <c r="F60" s="31" t="s">
        <v>410</v>
      </c>
      <c r="G60" s="32" t="str">
        <f>VLOOKUP(F60,Data!$B$140:$C$144,2,FALSE)</f>
        <v>Apple</v>
      </c>
      <c r="H60" s="32">
        <f>VLOOKUP(F60,Data!$B$140:$D$144,3,FALSE)</f>
        <v>2023</v>
      </c>
      <c r="I60" s="32">
        <f t="shared" ca="1" si="5"/>
        <v>3</v>
      </c>
      <c r="J60" s="31"/>
      <c r="K60" s="31"/>
      <c r="L60" s="11"/>
      <c r="M60" s="31"/>
    </row>
    <row r="61" spans="1:13">
      <c r="A61" s="5">
        <v>53</v>
      </c>
      <c r="B61" s="6" t="s">
        <v>264</v>
      </c>
      <c r="C61" s="12" t="s">
        <v>265</v>
      </c>
      <c r="D61" s="6" t="s">
        <v>258</v>
      </c>
      <c r="E61" s="12" t="s">
        <v>53</v>
      </c>
      <c r="F61" s="31" t="s">
        <v>416</v>
      </c>
      <c r="G61" s="32" t="str">
        <f>VLOOKUP(F61,Data!$B$140:$C$144,2,FALSE)</f>
        <v>Xiaomi</v>
      </c>
      <c r="H61" s="32">
        <f>VLOOKUP(F61,Data!$B$140:$D$144,3,FALSE)</f>
        <v>2024</v>
      </c>
      <c r="I61" s="32">
        <f t="shared" ca="1" si="5"/>
        <v>2</v>
      </c>
      <c r="J61" s="31"/>
      <c r="K61" s="31"/>
      <c r="L61" s="11"/>
      <c r="M61" s="31"/>
    </row>
    <row r="62" spans="1:13">
      <c r="A62" s="5">
        <v>54</v>
      </c>
      <c r="B62" s="6" t="s">
        <v>267</v>
      </c>
      <c r="C62" s="12" t="s">
        <v>268</v>
      </c>
      <c r="D62" s="6" t="s">
        <v>258</v>
      </c>
      <c r="E62" s="12" t="s">
        <v>53</v>
      </c>
      <c r="F62" s="31" t="s">
        <v>416</v>
      </c>
      <c r="G62" s="32" t="str">
        <f>VLOOKUP(F62,Data!$B$140:$C$144,2,FALSE)</f>
        <v>Xiaomi</v>
      </c>
      <c r="H62" s="32">
        <f>VLOOKUP(F62,Data!$B$140:$D$144,3,FALSE)</f>
        <v>2024</v>
      </c>
      <c r="I62" s="32">
        <f t="shared" ca="1" si="5"/>
        <v>2</v>
      </c>
      <c r="J62" s="31"/>
      <c r="K62" s="31"/>
      <c r="L62" s="11"/>
      <c r="M62" s="31"/>
    </row>
    <row r="63" spans="1:13">
      <c r="A63" s="5">
        <v>55</v>
      </c>
      <c r="B63" s="6" t="s">
        <v>199</v>
      </c>
      <c r="C63" s="12" t="s">
        <v>200</v>
      </c>
      <c r="D63" s="6" t="s">
        <v>258</v>
      </c>
      <c r="E63" s="12" t="s">
        <v>53</v>
      </c>
      <c r="F63" s="31"/>
      <c r="G63" s="32" t="e">
        <f>VLOOKUP(F63,Data!$B$140:$C$144,2,FALSE)</f>
        <v>#N/A</v>
      </c>
      <c r="H63" s="32" t="e">
        <f>VLOOKUP(F63,Data!$B$140:$D$144,3,FALSE)</f>
        <v>#N/A</v>
      </c>
      <c r="I63" s="32" t="e">
        <f t="shared" ca="1" si="5"/>
        <v>#N/A</v>
      </c>
      <c r="J63" s="31"/>
      <c r="K63" s="31"/>
      <c r="L63" s="11"/>
      <c r="M63" s="31"/>
    </row>
    <row r="64" spans="1:13">
      <c r="A64" s="5">
        <v>56</v>
      </c>
      <c r="B64" s="6" t="s">
        <v>272</v>
      </c>
      <c r="C64" s="12" t="s">
        <v>273</v>
      </c>
      <c r="D64" s="6" t="s">
        <v>258</v>
      </c>
      <c r="E64" s="12" t="s">
        <v>63</v>
      </c>
      <c r="F64" s="31" t="s">
        <v>416</v>
      </c>
      <c r="G64" s="32" t="str">
        <f>VLOOKUP(F64,Data!$B$140:$C$144,2,FALSE)</f>
        <v>Xiaomi</v>
      </c>
      <c r="H64" s="32">
        <f>VLOOKUP(F64,Data!$B$140:$D$144,3,FALSE)</f>
        <v>2024</v>
      </c>
      <c r="I64" s="32">
        <f t="shared" ca="1" si="5"/>
        <v>2</v>
      </c>
      <c r="J64" s="31"/>
      <c r="K64" s="31"/>
      <c r="L64" s="11"/>
      <c r="M64" s="31"/>
    </row>
    <row r="65" spans="1:13">
      <c r="A65" s="5">
        <v>57</v>
      </c>
      <c r="B65" s="6" t="s">
        <v>277</v>
      </c>
      <c r="C65" s="12" t="s">
        <v>278</v>
      </c>
      <c r="D65" s="6" t="s">
        <v>258</v>
      </c>
      <c r="E65" s="12" t="s">
        <v>63</v>
      </c>
      <c r="F65" s="31" t="s">
        <v>447</v>
      </c>
      <c r="G65" s="32" t="e">
        <f>VLOOKUP(F65,Data!$B$140:$C$144,2,FALSE)</f>
        <v>#N/A</v>
      </c>
      <c r="H65" s="32" t="e">
        <f>VLOOKUP(F65,Data!$B$140:$D$144,3,FALSE)</f>
        <v>#N/A</v>
      </c>
      <c r="I65" s="32" t="e">
        <f t="shared" ca="1" si="5"/>
        <v>#N/A</v>
      </c>
      <c r="J65" s="31"/>
      <c r="K65" s="31"/>
      <c r="L65" s="11"/>
      <c r="M65" s="31"/>
    </row>
    <row r="66" spans="1:13">
      <c r="A66" s="5">
        <v>58</v>
      </c>
      <c r="B66" s="6" t="s">
        <v>280</v>
      </c>
      <c r="C66" s="12" t="s">
        <v>281</v>
      </c>
      <c r="D66" s="6" t="s">
        <v>258</v>
      </c>
      <c r="E66" s="12" t="s">
        <v>63</v>
      </c>
      <c r="F66" s="31" t="s">
        <v>447</v>
      </c>
      <c r="G66" s="32" t="e">
        <f>VLOOKUP(F66,Data!$B$140:$C$144,2,FALSE)</f>
        <v>#N/A</v>
      </c>
      <c r="H66" s="32" t="e">
        <f>VLOOKUP(F66,Data!$B$140:$D$144,3,FALSE)</f>
        <v>#N/A</v>
      </c>
      <c r="I66" s="32" t="e">
        <f t="shared" ca="1" si="5"/>
        <v>#N/A</v>
      </c>
      <c r="J66" s="31"/>
      <c r="K66" s="31"/>
      <c r="L66" s="11"/>
      <c r="M66" s="31"/>
    </row>
    <row r="67" spans="1:13">
      <c r="A67" s="5">
        <v>59</v>
      </c>
      <c r="B67" s="6" t="s">
        <v>283</v>
      </c>
      <c r="C67" s="12" t="s">
        <v>284</v>
      </c>
      <c r="D67" s="6" t="s">
        <v>258</v>
      </c>
      <c r="E67" s="12" t="s">
        <v>85</v>
      </c>
      <c r="F67" s="31" t="s">
        <v>447</v>
      </c>
      <c r="G67" s="32" t="e">
        <f>VLOOKUP(F67,Data!$B$140:$C$144,2,FALSE)</f>
        <v>#N/A</v>
      </c>
      <c r="H67" s="32" t="e">
        <f>VLOOKUP(F67,Data!$B$140:$D$144,3,FALSE)</f>
        <v>#N/A</v>
      </c>
      <c r="I67" s="32" t="e">
        <f t="shared" ca="1" si="5"/>
        <v>#N/A</v>
      </c>
      <c r="J67" s="31"/>
      <c r="K67" s="31"/>
      <c r="L67" s="11"/>
      <c r="M67" s="31"/>
    </row>
    <row r="68" spans="1:13">
      <c r="A68" s="5">
        <v>60</v>
      </c>
      <c r="B68" s="6" t="s">
        <v>286</v>
      </c>
      <c r="C68" s="12" t="s">
        <v>287</v>
      </c>
      <c r="D68" s="6" t="s">
        <v>258</v>
      </c>
      <c r="E68" s="12" t="s">
        <v>85</v>
      </c>
      <c r="F68" s="31" t="s">
        <v>416</v>
      </c>
      <c r="G68" s="32" t="str">
        <f>VLOOKUP(F68,Data!$B$140:$C$144,2,FALSE)</f>
        <v>Xiaomi</v>
      </c>
      <c r="H68" s="32">
        <f>VLOOKUP(F68,Data!$B$140:$D$144,3,FALSE)</f>
        <v>2024</v>
      </c>
      <c r="I68" s="32">
        <f t="shared" ca="1" si="5"/>
        <v>2</v>
      </c>
      <c r="J68" s="31"/>
      <c r="K68" s="31"/>
      <c r="L68" s="11"/>
      <c r="M68" s="31"/>
    </row>
    <row r="69" spans="1:13">
      <c r="A69" s="5"/>
      <c r="B69" s="6"/>
      <c r="C69" s="12"/>
      <c r="D69" s="6"/>
      <c r="E69" s="12"/>
      <c r="F69" s="31" t="s">
        <v>416</v>
      </c>
      <c r="G69" s="32" t="str">
        <f>VLOOKUP(F69,Data!$B$140:$C$144,2,FALSE)</f>
        <v>Xiaomi</v>
      </c>
      <c r="H69" s="32">
        <f>VLOOKUP(F69,Data!$B$140:$D$144,3,FALSE)</f>
        <v>2024</v>
      </c>
      <c r="I69" s="32">
        <f t="shared" ca="1" si="5"/>
        <v>2</v>
      </c>
      <c r="J69" s="31"/>
      <c r="K69" s="31"/>
      <c r="L69" s="11"/>
      <c r="M69" s="31"/>
    </row>
    <row r="70" spans="1:13">
      <c r="A70" s="5">
        <v>61</v>
      </c>
      <c r="B70" s="6" t="s">
        <v>289</v>
      </c>
      <c r="C70" s="12" t="s">
        <v>290</v>
      </c>
      <c r="D70" s="6" t="s">
        <v>258</v>
      </c>
      <c r="E70" s="12" t="s">
        <v>85</v>
      </c>
      <c r="F70" s="31" t="s">
        <v>447</v>
      </c>
      <c r="G70" s="32" t="e">
        <f>VLOOKUP(F70,Data!$B$140:$C$144,2,FALSE)</f>
        <v>#N/A</v>
      </c>
      <c r="H70" s="32" t="e">
        <f>VLOOKUP(F70,Data!$B$140:$D$144,3,FALSE)</f>
        <v>#N/A</v>
      </c>
      <c r="I70" s="32" t="e">
        <f t="shared" ca="1" si="5"/>
        <v>#N/A</v>
      </c>
      <c r="J70" s="31"/>
      <c r="K70" s="31"/>
      <c r="L70" s="11"/>
      <c r="M70" s="31"/>
    </row>
    <row r="71" spans="1:13">
      <c r="A71" s="5">
        <v>62</v>
      </c>
      <c r="B71" s="6" t="s">
        <v>292</v>
      </c>
      <c r="C71" s="12" t="s">
        <v>293</v>
      </c>
      <c r="D71" s="6" t="s">
        <v>258</v>
      </c>
      <c r="E71" s="12" t="s">
        <v>85</v>
      </c>
      <c r="F71" s="31" t="s">
        <v>416</v>
      </c>
      <c r="G71" s="32" t="str">
        <f>VLOOKUP(F71,Data!$B$140:$C$144,2,FALSE)</f>
        <v>Xiaomi</v>
      </c>
      <c r="H71" s="32">
        <f>VLOOKUP(F71,Data!$B$140:$D$144,3,FALSE)</f>
        <v>2024</v>
      </c>
      <c r="I71" s="32">
        <f t="shared" ca="1" si="5"/>
        <v>2</v>
      </c>
      <c r="J71" s="31"/>
      <c r="K71" s="31"/>
      <c r="L71" s="11"/>
      <c r="M71" s="31"/>
    </row>
    <row r="72" spans="1:13">
      <c r="A72" s="5">
        <v>63</v>
      </c>
      <c r="B72" s="6" t="s">
        <v>296</v>
      </c>
      <c r="C72" s="12" t="s">
        <v>297</v>
      </c>
      <c r="D72" s="6" t="s">
        <v>298</v>
      </c>
      <c r="E72" s="12" t="s">
        <v>16</v>
      </c>
      <c r="F72" s="31"/>
      <c r="G72" s="32" t="e">
        <f>VLOOKUP(F72,Data!$B$140:$C$144,2,FALSE)</f>
        <v>#N/A</v>
      </c>
      <c r="H72" s="32" t="e">
        <f>VLOOKUP(F72,Data!$B$140:$D$144,3,FALSE)</f>
        <v>#N/A</v>
      </c>
      <c r="I72" s="32" t="e">
        <f t="shared" ref="I72:I73" ca="1" si="6">YEAR(TODAY()) - H72</f>
        <v>#N/A</v>
      </c>
      <c r="J72" s="31"/>
      <c r="K72" s="31"/>
      <c r="L72" s="11"/>
      <c r="M72" s="31"/>
    </row>
    <row r="73" spans="1:13">
      <c r="A73" s="5">
        <v>64</v>
      </c>
      <c r="B73" s="6" t="s">
        <v>302</v>
      </c>
      <c r="C73" s="6" t="s">
        <v>303</v>
      </c>
      <c r="D73" s="14" t="s">
        <v>298</v>
      </c>
      <c r="E73" s="12" t="s">
        <v>31</v>
      </c>
      <c r="F73" s="31"/>
      <c r="G73" s="32" t="e">
        <f>VLOOKUP(F73,Data!$B$140:$C$144,2,FALSE)</f>
        <v>#N/A</v>
      </c>
      <c r="H73" s="32" t="e">
        <f>VLOOKUP(F73,Data!$B$140:$D$144,3,FALSE)</f>
        <v>#N/A</v>
      </c>
      <c r="I73" s="32" t="e">
        <f t="shared" ca="1" si="6"/>
        <v>#N/A</v>
      </c>
      <c r="J73" s="31"/>
      <c r="K73" s="31"/>
      <c r="L73" s="11"/>
      <c r="M73" s="31"/>
    </row>
    <row r="74" spans="1:13">
      <c r="A74" s="5"/>
      <c r="B74" s="6"/>
      <c r="C74" s="6"/>
      <c r="D74" s="14"/>
      <c r="E74" s="12"/>
      <c r="F74" s="31"/>
      <c r="G74" s="32" t="s">
        <v>431</v>
      </c>
      <c r="H74" s="32">
        <v>2025</v>
      </c>
      <c r="I74" s="32"/>
      <c r="J74" s="31"/>
      <c r="K74" s="31" t="s">
        <v>19</v>
      </c>
      <c r="L74" t="s">
        <v>407</v>
      </c>
      <c r="M74" s="31" t="s">
        <v>450</v>
      </c>
    </row>
    <row r="75" spans="1:13">
      <c r="A75" s="5">
        <v>65</v>
      </c>
      <c r="B75" s="6" t="s">
        <v>307</v>
      </c>
      <c r="C75" s="6" t="s">
        <v>308</v>
      </c>
      <c r="D75" s="6" t="s">
        <v>298</v>
      </c>
      <c r="E75" s="12" t="s">
        <v>31</v>
      </c>
      <c r="F75" s="31" t="s">
        <v>416</v>
      </c>
      <c r="G75" s="32" t="str">
        <f>VLOOKUP(F75,Data!$B$140:$C$144,2,FALSE)</f>
        <v>Xiaomi</v>
      </c>
      <c r="H75" s="32">
        <f>VLOOKUP(F75,Data!$B$140:$D$144,3,FALSE)</f>
        <v>2024</v>
      </c>
      <c r="I75" s="32">
        <f t="shared" ref="I75:I94" ca="1" si="7">YEAR(TODAY()) - H75</f>
        <v>2</v>
      </c>
      <c r="J75" s="31"/>
      <c r="K75" s="31" t="s">
        <v>451</v>
      </c>
      <c r="L75" s="31" t="str">
        <f t="shared" ref="L75:L81" si="8">B75</f>
        <v>Rosalie Joan D. R. Sotelo</v>
      </c>
      <c r="M75" s="31"/>
    </row>
    <row r="76" spans="1:13">
      <c r="A76" s="5">
        <v>66</v>
      </c>
      <c r="B76" s="6" t="s">
        <v>315</v>
      </c>
      <c r="C76" s="6" t="s">
        <v>316</v>
      </c>
      <c r="D76" s="6" t="s">
        <v>298</v>
      </c>
      <c r="E76" s="12" t="s">
        <v>53</v>
      </c>
      <c r="F76" s="31" t="s">
        <v>421</v>
      </c>
      <c r="G76" s="32" t="str">
        <f>VLOOKUP(F76,Data!$B$140:$C$144,2,FALSE)</f>
        <v>Samsung</v>
      </c>
      <c r="H76" s="32">
        <f>VLOOKUP(F76,Data!$B$140:$D$144,3,FALSE)</f>
        <v>2024</v>
      </c>
      <c r="I76" s="32">
        <f t="shared" ca="1" si="7"/>
        <v>2</v>
      </c>
      <c r="J76" s="31"/>
      <c r="K76" s="31" t="s">
        <v>19</v>
      </c>
      <c r="L76" s="31" t="str">
        <f t="shared" si="8"/>
        <v>Alpres Russel S. Bustillo</v>
      </c>
      <c r="M76" s="31" t="s">
        <v>452</v>
      </c>
    </row>
    <row r="77" spans="1:13">
      <c r="A77" s="5">
        <v>67</v>
      </c>
      <c r="B77" s="6" t="s">
        <v>318</v>
      </c>
      <c r="C77" s="6" t="s">
        <v>319</v>
      </c>
      <c r="D77" s="6" t="s">
        <v>298</v>
      </c>
      <c r="E77" s="12" t="s">
        <v>53</v>
      </c>
      <c r="F77" s="31" t="s">
        <v>416</v>
      </c>
      <c r="G77" s="32" t="str">
        <f>VLOOKUP(F77,Data!$B$140:$C$144,2,FALSE)</f>
        <v>Xiaomi</v>
      </c>
      <c r="H77" s="32">
        <f>VLOOKUP(F77,Data!$B$140:$D$144,3,FALSE)</f>
        <v>2024</v>
      </c>
      <c r="I77" s="32">
        <f t="shared" ca="1" si="7"/>
        <v>2</v>
      </c>
      <c r="J77" s="31" t="s">
        <v>453</v>
      </c>
      <c r="K77" s="31" t="s">
        <v>451</v>
      </c>
      <c r="L77" s="31" t="str">
        <f t="shared" si="8"/>
        <v>Ron Ron D. Madera</v>
      </c>
      <c r="M77" s="31"/>
    </row>
    <row r="78" spans="1:13">
      <c r="A78" s="5">
        <v>68</v>
      </c>
      <c r="B78" s="6" t="s">
        <v>310</v>
      </c>
      <c r="C78" s="6" t="s">
        <v>311</v>
      </c>
      <c r="D78" s="6" t="s">
        <v>298</v>
      </c>
      <c r="E78" s="12" t="s">
        <v>53</v>
      </c>
      <c r="F78" s="31" t="s">
        <v>421</v>
      </c>
      <c r="G78" s="32" t="str">
        <f>VLOOKUP(F78,Data!$B$140:$C$144,2,FALSE)</f>
        <v>Samsung</v>
      </c>
      <c r="H78" s="32">
        <f>VLOOKUP(F78,Data!$B$140:$D$144,3,FALSE)</f>
        <v>2024</v>
      </c>
      <c r="I78" s="32">
        <f t="shared" ca="1" si="7"/>
        <v>2</v>
      </c>
      <c r="J78" s="31"/>
      <c r="K78" s="31" t="s">
        <v>19</v>
      </c>
      <c r="L78" s="31" t="str">
        <f t="shared" si="8"/>
        <v>Robert Jae G. Legaspi</v>
      </c>
      <c r="M78" s="31" t="s">
        <v>452</v>
      </c>
    </row>
    <row r="79" spans="1:13">
      <c r="A79" s="5">
        <v>69</v>
      </c>
      <c r="B79" s="6" t="s">
        <v>325</v>
      </c>
      <c r="C79" s="6" t="s">
        <v>326</v>
      </c>
      <c r="D79" s="6" t="s">
        <v>298</v>
      </c>
      <c r="E79" s="12" t="s">
        <v>53</v>
      </c>
      <c r="F79" s="31" t="s">
        <v>416</v>
      </c>
      <c r="G79" s="32" t="str">
        <f>VLOOKUP(F79,Data!$B$140:$C$144,2,FALSE)</f>
        <v>Xiaomi</v>
      </c>
      <c r="H79" s="32">
        <f>VLOOKUP(F79,Data!$B$140:$D$144,3,FALSE)</f>
        <v>2024</v>
      </c>
      <c r="I79" s="32">
        <f t="shared" ca="1" si="7"/>
        <v>2</v>
      </c>
      <c r="J79" s="31"/>
      <c r="K79" s="31" t="s">
        <v>451</v>
      </c>
      <c r="L79" s="31" t="str">
        <f t="shared" si="8"/>
        <v>Ashley F. Rivera</v>
      </c>
      <c r="M79" s="31"/>
    </row>
    <row r="80" spans="1:13">
      <c r="A80" s="5"/>
      <c r="B80" s="6"/>
      <c r="C80" s="6"/>
      <c r="D80" s="6"/>
      <c r="E80" s="12"/>
      <c r="F80" s="31"/>
      <c r="G80" s="32" t="s">
        <v>431</v>
      </c>
      <c r="H80" s="32">
        <v>2025</v>
      </c>
      <c r="I80" s="32"/>
      <c r="J80" s="31" t="s">
        <v>454</v>
      </c>
      <c r="K80" s="31" t="s">
        <v>19</v>
      </c>
      <c r="L80" s="31" t="s">
        <v>359</v>
      </c>
      <c r="M80" s="31" t="s">
        <v>450</v>
      </c>
    </row>
    <row r="81" spans="1:13">
      <c r="A81" s="5">
        <v>70</v>
      </c>
      <c r="B81" s="6" t="s">
        <v>331</v>
      </c>
      <c r="C81" s="6" t="s">
        <v>332</v>
      </c>
      <c r="D81" s="6" t="s">
        <v>298</v>
      </c>
      <c r="E81" s="12" t="s">
        <v>53</v>
      </c>
      <c r="F81" s="31" t="s">
        <v>421</v>
      </c>
      <c r="G81" s="32" t="str">
        <f>VLOOKUP(F81,Data!$B$140:$C$144,2,FALSE)</f>
        <v>Samsung</v>
      </c>
      <c r="H81" s="32">
        <f>VLOOKUP(F81,Data!$B$140:$D$144,3,FALSE)</f>
        <v>2024</v>
      </c>
      <c r="I81" s="32">
        <f t="shared" ca="1" si="7"/>
        <v>2</v>
      </c>
      <c r="J81" s="31"/>
      <c r="K81" s="31" t="s">
        <v>19</v>
      </c>
      <c r="L81" s="31" t="str">
        <f t="shared" si="8"/>
        <v>Lianne Bea Y. Jaca</v>
      </c>
      <c r="M81" s="31" t="s">
        <v>455</v>
      </c>
    </row>
    <row r="82" spans="1:13">
      <c r="A82" s="5">
        <v>71</v>
      </c>
      <c r="B82" s="6" t="s">
        <v>397</v>
      </c>
      <c r="C82" s="6" t="s">
        <v>398</v>
      </c>
      <c r="D82" s="6" t="s">
        <v>160</v>
      </c>
      <c r="E82" s="12" t="s">
        <v>31</v>
      </c>
      <c r="F82" s="31"/>
      <c r="G82" s="32" t="e">
        <f>VLOOKUP(F82,Data!$B$140:$C$144,2,FALSE)</f>
        <v>#N/A</v>
      </c>
      <c r="H82" s="32" t="e">
        <f>VLOOKUP(F82,Data!$B$140:$D$144,3,FALSE)</f>
        <v>#N/A</v>
      </c>
      <c r="I82" s="32" t="e">
        <f t="shared" ca="1" si="7"/>
        <v>#N/A</v>
      </c>
      <c r="J82" s="31"/>
      <c r="K82" s="31"/>
      <c r="L82" s="11"/>
      <c r="M82" s="31"/>
    </row>
    <row r="83" spans="1:13">
      <c r="A83" s="5">
        <v>72</v>
      </c>
      <c r="B83" s="6" t="s">
        <v>339</v>
      </c>
      <c r="C83" s="6" t="s">
        <v>340</v>
      </c>
      <c r="D83" s="6" t="s">
        <v>298</v>
      </c>
      <c r="E83" s="12" t="s">
        <v>63</v>
      </c>
      <c r="F83" s="31"/>
      <c r="G83" s="32" t="e">
        <f>VLOOKUP(F83,Data!$B$140:$C$144,2,FALSE)</f>
        <v>#N/A</v>
      </c>
      <c r="H83" s="32" t="e">
        <f>VLOOKUP(F83,Data!$B$140:$D$144,3,FALSE)</f>
        <v>#N/A</v>
      </c>
      <c r="I83" s="32" t="e">
        <f t="shared" ca="1" si="7"/>
        <v>#N/A</v>
      </c>
      <c r="J83" s="31"/>
      <c r="K83" s="31"/>
      <c r="L83" s="11"/>
      <c r="M83" s="31"/>
    </row>
    <row r="84" spans="1:13">
      <c r="A84" s="5">
        <v>73</v>
      </c>
      <c r="B84" s="6" t="s">
        <v>343</v>
      </c>
      <c r="C84" s="6" t="s">
        <v>344</v>
      </c>
      <c r="D84" s="6" t="s">
        <v>298</v>
      </c>
      <c r="E84" s="12" t="s">
        <v>63</v>
      </c>
      <c r="F84" s="31" t="s">
        <v>416</v>
      </c>
      <c r="G84" s="32" t="str">
        <f>VLOOKUP(F84,Data!$B$140:$C$144,2,FALSE)</f>
        <v>Xiaomi</v>
      </c>
      <c r="H84" s="32">
        <f>VLOOKUP(F84,Data!$B$140:$D$144,3,FALSE)</f>
        <v>2024</v>
      </c>
      <c r="I84" s="32">
        <f t="shared" ca="1" si="7"/>
        <v>2</v>
      </c>
      <c r="J84" s="31"/>
      <c r="K84" s="31" t="s">
        <v>451</v>
      </c>
      <c r="L84" s="31" t="str">
        <f>B84</f>
        <v>Charmaine Pearl L. Aquino</v>
      </c>
      <c r="M84" s="31"/>
    </row>
    <row r="85" spans="1:13">
      <c r="A85" s="5">
        <v>74</v>
      </c>
      <c r="B85" s="6" t="s">
        <v>347</v>
      </c>
      <c r="C85" s="6" t="s">
        <v>348</v>
      </c>
      <c r="D85" s="6" t="s">
        <v>298</v>
      </c>
      <c r="E85" s="12" t="s">
        <v>63</v>
      </c>
      <c r="F85" s="31" t="s">
        <v>421</v>
      </c>
      <c r="G85" s="32" t="str">
        <f>VLOOKUP(F85,Data!$B$140:$C$144,2,FALSE)</f>
        <v>Samsung</v>
      </c>
      <c r="H85" s="32">
        <f>VLOOKUP(F85,Data!$B$140:$D$144,3,FALSE)</f>
        <v>2024</v>
      </c>
      <c r="I85" s="32">
        <f t="shared" ca="1" si="7"/>
        <v>2</v>
      </c>
      <c r="J85" s="31"/>
      <c r="K85" s="31" t="s">
        <v>19</v>
      </c>
      <c r="L85" s="31" t="str">
        <f>B85</f>
        <v>Winston Rod R. Nicodemus</v>
      </c>
      <c r="M85" s="31" t="s">
        <v>452</v>
      </c>
    </row>
    <row r="86" spans="1:13">
      <c r="A86" s="5">
        <v>75</v>
      </c>
      <c r="B86" s="6" t="s">
        <v>334</v>
      </c>
      <c r="C86" s="6" t="s">
        <v>335</v>
      </c>
      <c r="D86" s="6" t="s">
        <v>298</v>
      </c>
      <c r="E86" s="12" t="s">
        <v>63</v>
      </c>
      <c r="F86" s="31" t="s">
        <v>416</v>
      </c>
      <c r="G86" s="32" t="str">
        <f>VLOOKUP(F86,Data!$B$140:$C$144,2,FALSE)</f>
        <v>Xiaomi</v>
      </c>
      <c r="H86" s="32">
        <f>VLOOKUP(F86,Data!$B$140:$D$144,3,FALSE)</f>
        <v>2024</v>
      </c>
      <c r="I86" s="32">
        <f t="shared" ca="1" si="7"/>
        <v>2</v>
      </c>
      <c r="J86" s="32" t="s">
        <v>456</v>
      </c>
      <c r="K86" s="31" t="s">
        <v>451</v>
      </c>
      <c r="L86" s="31" t="str">
        <f>B86</f>
        <v>Karoline P. De Vera</v>
      </c>
      <c r="M86" s="31"/>
    </row>
    <row r="87" spans="1:13">
      <c r="A87" s="5">
        <v>76</v>
      </c>
      <c r="B87" s="6" t="s">
        <v>306</v>
      </c>
      <c r="C87" s="6" t="s">
        <v>357</v>
      </c>
      <c r="D87" s="6" t="s">
        <v>298</v>
      </c>
      <c r="E87" s="12" t="s">
        <v>85</v>
      </c>
      <c r="F87" s="31" t="s">
        <v>416</v>
      </c>
      <c r="G87" s="32" t="str">
        <f>VLOOKUP(F87,Data!$B$140:$C$144,2,FALSE)</f>
        <v>Xiaomi</v>
      </c>
      <c r="H87" s="32">
        <f>VLOOKUP(F87,Data!$B$140:$D$144,3,FALSE)</f>
        <v>2024</v>
      </c>
      <c r="I87" s="32">
        <f t="shared" ca="1" si="7"/>
        <v>2</v>
      </c>
      <c r="J87" s="31"/>
      <c r="K87" s="31" t="s">
        <v>451</v>
      </c>
      <c r="L87" s="31" t="str">
        <f>B87</f>
        <v>Anne Manette D. Jimenez</v>
      </c>
      <c r="M87" s="31"/>
    </row>
    <row r="88" spans="1:13">
      <c r="A88" s="5">
        <v>77</v>
      </c>
      <c r="B88" s="6" t="s">
        <v>351</v>
      </c>
      <c r="C88" s="6" t="s">
        <v>352</v>
      </c>
      <c r="D88" s="6" t="s">
        <v>298</v>
      </c>
      <c r="E88" s="12" t="s">
        <v>85</v>
      </c>
      <c r="F88" s="31"/>
      <c r="G88" s="32" t="e">
        <f>VLOOKUP(F88,Data!$B$140:$C$144,2,FALSE)</f>
        <v>#N/A</v>
      </c>
      <c r="H88" s="32" t="e">
        <f>VLOOKUP(F88,Data!$B$140:$D$144,3,FALSE)</f>
        <v>#N/A</v>
      </c>
      <c r="I88" s="32" t="e">
        <f t="shared" ca="1" si="7"/>
        <v>#N/A</v>
      </c>
      <c r="J88" s="31"/>
      <c r="K88" s="31"/>
      <c r="L88" s="11"/>
      <c r="M88" s="31"/>
    </row>
    <row r="89" spans="1:13" s="102" customFormat="1">
      <c r="A89" s="5">
        <v>78</v>
      </c>
      <c r="B89" s="97" t="s">
        <v>365</v>
      </c>
      <c r="C89" s="97" t="s">
        <v>366</v>
      </c>
      <c r="D89" s="97" t="s">
        <v>298</v>
      </c>
      <c r="E89" s="98" t="s">
        <v>367</v>
      </c>
      <c r="F89" s="99"/>
      <c r="G89" s="100" t="s">
        <v>431</v>
      </c>
      <c r="H89" s="100">
        <v>2025</v>
      </c>
      <c r="I89" s="100">
        <f t="shared" ca="1" si="7"/>
        <v>1</v>
      </c>
      <c r="J89" s="99"/>
      <c r="K89" s="99"/>
      <c r="L89" s="101" t="s">
        <v>365</v>
      </c>
      <c r="M89" s="99" t="s">
        <v>450</v>
      </c>
    </row>
    <row r="90" spans="1:13">
      <c r="A90" s="5">
        <v>79</v>
      </c>
      <c r="B90" s="6" t="s">
        <v>373</v>
      </c>
      <c r="C90" s="6" t="s">
        <v>374</v>
      </c>
      <c r="D90" s="6" t="s">
        <v>375</v>
      </c>
      <c r="E90" s="12" t="s">
        <v>376</v>
      </c>
      <c r="F90" s="31"/>
      <c r="G90" s="32" t="e">
        <f>VLOOKUP(F90,Data!$B$140:$C$144,2,FALSE)</f>
        <v>#N/A</v>
      </c>
      <c r="H90" s="32" t="e">
        <f>VLOOKUP(F90,Data!$B$140:$D$144,3,FALSE)</f>
        <v>#N/A</v>
      </c>
      <c r="I90" s="32" t="e">
        <f t="shared" ca="1" si="7"/>
        <v>#N/A</v>
      </c>
      <c r="J90" s="31"/>
      <c r="K90" s="31"/>
      <c r="L90" s="11"/>
      <c r="M90" s="31"/>
    </row>
    <row r="91" spans="1:13">
      <c r="A91" s="5">
        <v>80</v>
      </c>
      <c r="B91" s="6" t="s">
        <v>377</v>
      </c>
      <c r="C91" s="6" t="s">
        <v>378</v>
      </c>
      <c r="D91" s="6" t="s">
        <v>375</v>
      </c>
      <c r="E91" s="12" t="s">
        <v>379</v>
      </c>
      <c r="F91" s="31"/>
      <c r="G91" s="32" t="e">
        <f>VLOOKUP(F91,Data!$B$140:$C$144,2,FALSE)</f>
        <v>#N/A</v>
      </c>
      <c r="H91" s="32" t="e">
        <f>VLOOKUP(F91,Data!$B$140:$D$144,3,FALSE)</f>
        <v>#N/A</v>
      </c>
      <c r="I91" s="32" t="e">
        <f t="shared" ca="1" si="7"/>
        <v>#N/A</v>
      </c>
      <c r="J91" s="31"/>
      <c r="K91" s="31"/>
      <c r="L91" s="11"/>
      <c r="M91" s="31"/>
    </row>
    <row r="92" spans="1:13">
      <c r="A92" s="5">
        <v>81</v>
      </c>
      <c r="B92" s="6" t="s">
        <v>380</v>
      </c>
      <c r="C92" s="6" t="s">
        <v>381</v>
      </c>
      <c r="D92" s="6" t="s">
        <v>375</v>
      </c>
      <c r="E92" s="12" t="s">
        <v>382</v>
      </c>
      <c r="F92" s="31"/>
      <c r="G92" s="32" t="e">
        <f>VLOOKUP(F92,Data!$B$140:$C$144,2,FALSE)</f>
        <v>#N/A</v>
      </c>
      <c r="H92" s="32" t="e">
        <f>VLOOKUP(F92,Data!$B$140:$D$144,3,FALSE)</f>
        <v>#N/A</v>
      </c>
      <c r="I92" s="32" t="e">
        <f t="shared" ca="1" si="7"/>
        <v>#N/A</v>
      </c>
      <c r="J92" s="31"/>
      <c r="K92" s="31"/>
      <c r="L92" s="11"/>
      <c r="M92" s="31"/>
    </row>
    <row r="93" spans="1:13">
      <c r="A93" s="5">
        <v>82</v>
      </c>
      <c r="B93" s="6" t="s">
        <v>383</v>
      </c>
      <c r="C93" s="6" t="s">
        <v>384</v>
      </c>
      <c r="D93" s="6" t="s">
        <v>375</v>
      </c>
      <c r="E93" s="12" t="s">
        <v>367</v>
      </c>
      <c r="F93" s="31"/>
      <c r="G93" s="32" t="e">
        <f>VLOOKUP(F93,Data!$B$140:$C$144,2,FALSE)</f>
        <v>#N/A</v>
      </c>
      <c r="H93" s="32" t="e">
        <f>VLOOKUP(F93,Data!$B$140:$D$144,3,FALSE)</f>
        <v>#N/A</v>
      </c>
      <c r="I93" s="32" t="e">
        <f t="shared" ca="1" si="7"/>
        <v>#N/A</v>
      </c>
      <c r="J93" s="31"/>
      <c r="K93" s="31"/>
      <c r="L93" s="11"/>
      <c r="M93" s="31"/>
    </row>
    <row r="94" spans="1:13">
      <c r="A94" s="5">
        <v>83</v>
      </c>
      <c r="B94" s="6" t="s">
        <v>385</v>
      </c>
      <c r="C94" s="6" t="s">
        <v>386</v>
      </c>
      <c r="D94" s="6" t="s">
        <v>375</v>
      </c>
      <c r="E94" s="12" t="s">
        <v>387</v>
      </c>
      <c r="F94" s="31"/>
      <c r="G94" s="32" t="e">
        <f>VLOOKUP(F94,Data!$B$140:$C$144,2,FALSE)</f>
        <v>#N/A</v>
      </c>
      <c r="H94" s="32" t="e">
        <f>VLOOKUP(F94,Data!$B$140:$D$144,3,FALSE)</f>
        <v>#N/A</v>
      </c>
      <c r="I94" s="32" t="e">
        <f t="shared" ca="1" si="7"/>
        <v>#N/A</v>
      </c>
      <c r="J94" s="31"/>
      <c r="K94" s="31"/>
      <c r="L94" s="11"/>
      <c r="M94" s="31"/>
    </row>
    <row r="95" spans="1:13">
      <c r="G95" s="32" t="e">
        <f>VLOOKUP(F95,Data!$B$140:$C$143,2,FALSE)</f>
        <v>#N/A</v>
      </c>
    </row>
    <row r="96" spans="1:13" ht="15.75"/>
  </sheetData>
  <autoFilter ref="A1:N95" xr:uid="{8FB69C92-1BE1-B145-8C5D-99E15BE991A4}">
    <filterColumn colId="3">
      <filters>
        <filter val="EPMPD"/>
      </filters>
    </filterColumn>
  </autoFilter>
  <conditionalFormatting sqref="H47:I94 G47:G95 G2:I46">
    <cfRule type="containsErrors" dxfId="6" priority="5" stopIfTrue="1">
      <formula>ISERROR(G2)</formula>
    </cfRule>
  </conditionalFormatting>
  <pageMargins left="0.7" right="0.7" top="0.75" bottom="0.75" header="0.3" footer="0.3"/>
  <pageSetup paperSize="9" scale="41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FD7F42CA-0578-429E-B620-96290031B5CA}">
            <xm:f>ISNUMBER(MATCH(L28,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L28 L30:L74</xm:sqref>
        </x14:conditionalFormatting>
        <x14:conditionalFormatting xmlns:xm="http://schemas.microsoft.com/office/excel/2006/main">
          <x14:cfRule type="expression" priority="2" id="{2130E4BB-EBCD-43F6-8AF5-7BD7BE832B47}">
            <xm:f>ISNUMBER(MATCH(L82,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L82:L83</xm:sqref>
        </x14:conditionalFormatting>
        <x14:conditionalFormatting xmlns:xm="http://schemas.microsoft.com/office/excel/2006/main">
          <x14:cfRule type="expression" priority="1" id="{E1F42B18-3CDA-42B0-8BE9-9FE6BC9CF892}">
            <xm:f>ISNUMBER(MATCH(L88, Data!$B$90:$B$116, 0))</xm:f>
            <x14:dxf>
              <fill>
                <patternFill>
                  <bgColor theme="7" tint="0.79998168889431442"/>
                </patternFill>
              </fill>
            </x14:dxf>
          </x14:cfRule>
          <xm:sqref>L88:L94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38A556-5BD9-4E7F-9BB3-5B419FFFFD2A}">
          <x14:formula1>
            <xm:f>Data!$B$2:$B$116</xm:f>
          </x14:formula1>
          <xm:sqref>L2:L3 L28 L17 L6 L22 L82:L83 L88:L94 L8:L13 L30:L74</xm:sqref>
        </x14:dataValidation>
        <x14:dataValidation type="list" allowBlank="1" showInputMessage="1" showErrorMessage="1" xr:uid="{FE51765E-F12D-4F37-A440-80AC4C7223D6}">
          <x14:formula1>
            <xm:f>Data!$B$140:$B$144</xm:f>
          </x14:formula1>
          <xm:sqref>F2:F94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197F-B9DD-4DF9-A28F-04F0B09C64FD}">
  <dimension ref="A1:M88"/>
  <sheetViews>
    <sheetView workbookViewId="0">
      <selection activeCell="H32" sqref="A1:XFD1048576"/>
    </sheetView>
  </sheetViews>
  <sheetFormatPr defaultRowHeight="15.95"/>
  <cols>
    <col min="1" max="1" width="13.5" customWidth="1"/>
    <col min="2" max="2" width="24.25" bestFit="1" customWidth="1"/>
    <col min="3" max="4" width="13.5" customWidth="1"/>
    <col min="5" max="5" width="36.875" bestFit="1" customWidth="1"/>
    <col min="6" max="9" width="13.5" customWidth="1"/>
    <col min="10" max="10" width="24.75" customWidth="1"/>
    <col min="11" max="13" width="13.5" customWidth="1"/>
  </cols>
  <sheetData>
    <row r="1" spans="1:13" ht="24.95">
      <c r="A1" s="88" t="s">
        <v>0</v>
      </c>
      <c r="B1" s="89" t="s">
        <v>1</v>
      </c>
      <c r="C1" s="89" t="s">
        <v>2</v>
      </c>
      <c r="D1" s="89" t="s">
        <v>3</v>
      </c>
      <c r="E1" s="89" t="s">
        <v>4</v>
      </c>
      <c r="F1" s="90" t="s">
        <v>5</v>
      </c>
      <c r="G1" s="90" t="s">
        <v>6</v>
      </c>
      <c r="H1" s="90" t="s">
        <v>409</v>
      </c>
      <c r="I1" s="90" t="s">
        <v>8</v>
      </c>
      <c r="J1" s="90" t="s">
        <v>9</v>
      </c>
      <c r="K1" s="90" t="s">
        <v>10</v>
      </c>
      <c r="L1" s="90" t="s">
        <v>11</v>
      </c>
      <c r="M1" s="90" t="s">
        <v>12</v>
      </c>
    </row>
    <row r="2" spans="1:13">
      <c r="A2" s="5">
        <v>1</v>
      </c>
      <c r="B2" s="6" t="s">
        <v>13</v>
      </c>
      <c r="C2" s="6" t="s">
        <v>14</v>
      </c>
      <c r="D2" s="6" t="s">
        <v>15</v>
      </c>
      <c r="E2" s="12" t="s">
        <v>16</v>
      </c>
      <c r="F2" s="31"/>
      <c r="G2" s="31"/>
      <c r="H2" s="31"/>
      <c r="I2" s="32"/>
      <c r="J2" s="31"/>
      <c r="K2" s="31"/>
      <c r="L2" s="31"/>
      <c r="M2" s="31"/>
    </row>
    <row r="3" spans="1:13">
      <c r="A3" s="5">
        <v>2</v>
      </c>
      <c r="B3" s="6" t="s">
        <v>21</v>
      </c>
      <c r="C3" s="6" t="s">
        <v>22</v>
      </c>
      <c r="D3" s="6" t="s">
        <v>15</v>
      </c>
      <c r="E3" s="12" t="s">
        <v>23</v>
      </c>
      <c r="F3" s="31"/>
      <c r="G3" s="31"/>
      <c r="H3" s="31"/>
      <c r="I3" s="32"/>
      <c r="J3" s="91"/>
      <c r="K3" s="31"/>
      <c r="L3" s="31"/>
      <c r="M3" s="31"/>
    </row>
    <row r="4" spans="1:13">
      <c r="A4" s="5">
        <v>3</v>
      </c>
      <c r="B4" s="6" t="s">
        <v>29</v>
      </c>
      <c r="C4" s="6" t="s">
        <v>30</v>
      </c>
      <c r="D4" s="6" t="s">
        <v>15</v>
      </c>
      <c r="E4" s="12" t="s">
        <v>31</v>
      </c>
      <c r="F4" s="31"/>
      <c r="G4" s="31"/>
      <c r="H4" s="31"/>
      <c r="I4" s="32"/>
      <c r="J4" s="91"/>
      <c r="K4" s="31"/>
      <c r="L4" s="31"/>
      <c r="M4" s="31"/>
    </row>
    <row r="5" spans="1:13">
      <c r="A5" s="5">
        <v>4</v>
      </c>
      <c r="B5" s="6" t="s">
        <v>414</v>
      </c>
      <c r="C5" s="6" t="s">
        <v>415</v>
      </c>
      <c r="D5" s="6" t="s">
        <v>15</v>
      </c>
      <c r="E5" s="12" t="s">
        <v>63</v>
      </c>
      <c r="F5" s="36"/>
      <c r="G5" s="31"/>
      <c r="H5" s="31"/>
      <c r="I5" s="32"/>
      <c r="J5" s="31"/>
      <c r="K5" s="31"/>
      <c r="L5" s="31"/>
      <c r="M5" s="31"/>
    </row>
    <row r="6" spans="1:13">
      <c r="A6" s="5">
        <v>5</v>
      </c>
      <c r="B6" s="6" t="s">
        <v>36</v>
      </c>
      <c r="C6" s="6" t="s">
        <v>37</v>
      </c>
      <c r="D6" s="6" t="s">
        <v>15</v>
      </c>
      <c r="E6" s="38" t="s">
        <v>63</v>
      </c>
      <c r="F6" s="36"/>
      <c r="G6" s="35"/>
      <c r="H6" s="31"/>
      <c r="I6" s="32"/>
      <c r="J6" s="91"/>
      <c r="K6" s="31"/>
      <c r="L6" s="31"/>
      <c r="M6" s="31"/>
    </row>
    <row r="7" spans="1:13">
      <c r="A7" s="5">
        <v>6</v>
      </c>
      <c r="B7" s="6" t="s">
        <v>51</v>
      </c>
      <c r="C7" s="6" t="s">
        <v>52</v>
      </c>
      <c r="D7" s="6" t="s">
        <v>15</v>
      </c>
      <c r="E7" s="12" t="s">
        <v>63</v>
      </c>
      <c r="F7" s="31"/>
      <c r="G7" s="31"/>
      <c r="H7" s="31"/>
      <c r="I7" s="32"/>
      <c r="J7" s="31"/>
      <c r="K7" s="31"/>
      <c r="L7" s="31"/>
      <c r="M7" s="31"/>
    </row>
    <row r="8" spans="1:13">
      <c r="A8" s="5">
        <v>7</v>
      </c>
      <c r="B8" s="6" t="s">
        <v>58</v>
      </c>
      <c r="C8" s="6" t="s">
        <v>59</v>
      </c>
      <c r="D8" s="6" t="s">
        <v>15</v>
      </c>
      <c r="E8" s="12" t="s">
        <v>63</v>
      </c>
      <c r="F8" s="31"/>
      <c r="G8" s="31"/>
      <c r="H8" s="31"/>
      <c r="I8" s="32"/>
      <c r="J8" s="91"/>
      <c r="K8" s="31"/>
      <c r="L8" s="31"/>
      <c r="M8" s="31"/>
    </row>
    <row r="9" spans="1:13">
      <c r="A9" s="5">
        <v>8</v>
      </c>
      <c r="B9" s="6" t="s">
        <v>61</v>
      </c>
      <c r="C9" s="6" t="s">
        <v>62</v>
      </c>
      <c r="D9" s="6" t="s">
        <v>15</v>
      </c>
      <c r="E9" s="12" t="s">
        <v>63</v>
      </c>
      <c r="F9" s="31"/>
      <c r="G9" s="31"/>
      <c r="H9" s="31"/>
      <c r="I9" s="32"/>
      <c r="J9" s="31"/>
      <c r="K9" s="31"/>
      <c r="L9" s="31"/>
      <c r="M9" s="31"/>
    </row>
    <row r="10" spans="1:13">
      <c r="A10" s="5">
        <v>9</v>
      </c>
      <c r="B10" s="6" t="s">
        <v>67</v>
      </c>
      <c r="C10" s="6" t="s">
        <v>68</v>
      </c>
      <c r="D10" s="6" t="s">
        <v>15</v>
      </c>
      <c r="E10" s="12" t="s">
        <v>63</v>
      </c>
      <c r="F10" s="31"/>
      <c r="G10" s="31"/>
      <c r="H10" s="31"/>
      <c r="I10" s="32"/>
      <c r="J10" s="31"/>
      <c r="K10" s="31"/>
      <c r="L10" s="31"/>
      <c r="M10" s="31"/>
    </row>
    <row r="11" spans="1:13">
      <c r="A11" s="5">
        <v>10</v>
      </c>
      <c r="B11" s="6" t="s">
        <v>72</v>
      </c>
      <c r="C11" s="6" t="s">
        <v>73</v>
      </c>
      <c r="D11" s="6" t="s">
        <v>15</v>
      </c>
      <c r="E11" s="12" t="s">
        <v>63</v>
      </c>
      <c r="F11" s="31"/>
      <c r="G11" s="31"/>
      <c r="H11" s="31"/>
      <c r="I11" s="32"/>
      <c r="J11" s="91"/>
      <c r="K11" s="31"/>
      <c r="L11" s="31"/>
      <c r="M11" s="31"/>
    </row>
    <row r="12" spans="1:13">
      <c r="A12" s="5">
        <v>11</v>
      </c>
      <c r="B12" s="6" t="s">
        <v>75</v>
      </c>
      <c r="C12" s="6" t="s">
        <v>76</v>
      </c>
      <c r="D12" s="6" t="s">
        <v>15</v>
      </c>
      <c r="E12" s="12" t="s">
        <v>63</v>
      </c>
      <c r="F12" s="31"/>
      <c r="G12" s="31"/>
      <c r="H12" s="31"/>
      <c r="I12" s="32"/>
      <c r="J12" s="31"/>
      <c r="K12" s="31"/>
      <c r="L12" s="31"/>
      <c r="M12" s="31"/>
    </row>
    <row r="13" spans="1:13">
      <c r="A13" s="5">
        <v>12</v>
      </c>
      <c r="B13" s="6" t="s">
        <v>80</v>
      </c>
      <c r="C13" s="6" t="s">
        <v>81</v>
      </c>
      <c r="D13" s="6" t="s">
        <v>15</v>
      </c>
      <c r="E13" s="12" t="s">
        <v>63</v>
      </c>
      <c r="F13" s="31"/>
      <c r="G13" s="31"/>
      <c r="H13" s="31"/>
      <c r="I13" s="32"/>
      <c r="J13" s="31"/>
      <c r="K13" s="31"/>
      <c r="L13" s="31"/>
      <c r="M13" s="31"/>
    </row>
    <row r="14" spans="1:13">
      <c r="A14" s="5">
        <v>13</v>
      </c>
      <c r="B14" s="6" t="s">
        <v>457</v>
      </c>
      <c r="C14" s="6" t="s">
        <v>458</v>
      </c>
      <c r="D14" s="6" t="s">
        <v>15</v>
      </c>
      <c r="E14" s="12" t="s">
        <v>85</v>
      </c>
      <c r="F14" s="31"/>
      <c r="G14" s="31"/>
      <c r="H14" s="31"/>
      <c r="I14" s="32"/>
      <c r="J14" s="31"/>
      <c r="K14" s="31"/>
      <c r="L14" s="31"/>
      <c r="M14" s="31"/>
    </row>
    <row r="15" spans="1:13">
      <c r="A15" s="5">
        <v>14</v>
      </c>
      <c r="B15" s="6" t="s">
        <v>86</v>
      </c>
      <c r="C15" s="6" t="s">
        <v>87</v>
      </c>
      <c r="D15" s="6" t="s">
        <v>15</v>
      </c>
      <c r="E15" s="12" t="s">
        <v>85</v>
      </c>
      <c r="F15" s="31"/>
      <c r="G15" s="31"/>
      <c r="H15" s="31"/>
      <c r="I15" s="32"/>
      <c r="J15" s="91"/>
      <c r="K15" s="31"/>
      <c r="L15" s="31"/>
      <c r="M15" s="31"/>
    </row>
    <row r="16" spans="1:13">
      <c r="A16" s="5">
        <v>15</v>
      </c>
      <c r="B16" s="6" t="s">
        <v>90</v>
      </c>
      <c r="C16" s="6" t="s">
        <v>91</v>
      </c>
      <c r="D16" s="6" t="s">
        <v>15</v>
      </c>
      <c r="E16" s="12" t="s">
        <v>85</v>
      </c>
      <c r="F16" s="31"/>
      <c r="G16" s="31"/>
      <c r="H16" s="31"/>
      <c r="I16" s="32"/>
      <c r="J16" s="31"/>
      <c r="K16" s="31"/>
      <c r="L16" s="31"/>
      <c r="M16" s="31"/>
    </row>
    <row r="17" spans="1:13">
      <c r="A17" s="5">
        <v>16</v>
      </c>
      <c r="B17" s="6" t="s">
        <v>93</v>
      </c>
      <c r="C17" s="6" t="s">
        <v>94</v>
      </c>
      <c r="D17" s="6" t="s">
        <v>15</v>
      </c>
      <c r="E17" s="12" t="s">
        <v>95</v>
      </c>
      <c r="F17" s="31"/>
      <c r="G17" s="31"/>
      <c r="H17" s="31"/>
      <c r="I17" s="32"/>
      <c r="J17" s="31"/>
      <c r="K17" s="31"/>
      <c r="L17" s="31"/>
      <c r="M17" s="31"/>
    </row>
    <row r="18" spans="1:13">
      <c r="A18" s="5">
        <v>17</v>
      </c>
      <c r="B18" s="6" t="s">
        <v>97</v>
      </c>
      <c r="C18" s="6" t="s">
        <v>98</v>
      </c>
      <c r="D18" s="6" t="s">
        <v>99</v>
      </c>
      <c r="E18" s="12" t="s">
        <v>459</v>
      </c>
      <c r="F18" s="31"/>
      <c r="G18" s="31"/>
      <c r="H18" s="31"/>
      <c r="I18" s="32"/>
      <c r="J18" s="31"/>
      <c r="K18" s="31"/>
      <c r="L18" s="31"/>
      <c r="M18" s="31"/>
    </row>
    <row r="19" spans="1:13">
      <c r="A19" s="5">
        <v>18</v>
      </c>
      <c r="B19" s="6" t="s">
        <v>113</v>
      </c>
      <c r="C19" s="6" t="s">
        <v>114</v>
      </c>
      <c r="D19" s="6" t="s">
        <v>99</v>
      </c>
      <c r="E19" s="12" t="s">
        <v>115</v>
      </c>
      <c r="F19" s="31"/>
      <c r="G19" s="31"/>
      <c r="H19" s="31"/>
      <c r="I19" s="32"/>
      <c r="J19" s="31"/>
      <c r="K19" s="31"/>
      <c r="L19" s="31"/>
      <c r="M19" s="31"/>
    </row>
    <row r="20" spans="1:13">
      <c r="A20" s="5">
        <v>19</v>
      </c>
      <c r="B20" s="6" t="s">
        <v>460</v>
      </c>
      <c r="C20" s="6" t="s">
        <v>461</v>
      </c>
      <c r="D20" s="6" t="s">
        <v>99</v>
      </c>
      <c r="E20" s="12" t="s">
        <v>115</v>
      </c>
      <c r="F20" s="31"/>
      <c r="G20" s="31"/>
      <c r="H20" s="31"/>
      <c r="I20" s="32"/>
      <c r="J20" s="31"/>
      <c r="K20" s="31"/>
      <c r="L20" s="31"/>
      <c r="M20" s="31"/>
    </row>
    <row r="21" spans="1:13">
      <c r="A21" s="5">
        <v>20</v>
      </c>
      <c r="B21" s="6" t="s">
        <v>425</v>
      </c>
      <c r="C21" s="6" t="s">
        <v>426</v>
      </c>
      <c r="D21" s="6" t="s">
        <v>99</v>
      </c>
      <c r="E21" s="12" t="s">
        <v>53</v>
      </c>
      <c r="F21" s="31"/>
      <c r="G21" s="31"/>
      <c r="H21" s="31"/>
      <c r="I21" s="32"/>
      <c r="J21" s="31"/>
      <c r="K21" s="31"/>
      <c r="L21" s="31"/>
      <c r="M21" s="31"/>
    </row>
    <row r="22" spans="1:13">
      <c r="A22" s="5">
        <v>21</v>
      </c>
      <c r="B22" s="6" t="s">
        <v>190</v>
      </c>
      <c r="C22" s="6" t="s">
        <v>191</v>
      </c>
      <c r="D22" s="6" t="s">
        <v>99</v>
      </c>
      <c r="E22" s="12" t="s">
        <v>63</v>
      </c>
      <c r="F22" s="31"/>
      <c r="G22" s="31"/>
      <c r="H22" s="31"/>
      <c r="I22" s="32"/>
      <c r="J22" s="31"/>
      <c r="K22" s="31"/>
      <c r="L22" s="31"/>
      <c r="M22" s="31"/>
    </row>
    <row r="23" spans="1:13">
      <c r="A23" s="5">
        <v>22</v>
      </c>
      <c r="B23" s="6" t="s">
        <v>462</v>
      </c>
      <c r="C23" s="6" t="s">
        <v>463</v>
      </c>
      <c r="D23" s="6" t="s">
        <v>99</v>
      </c>
      <c r="E23" s="12" t="s">
        <v>63</v>
      </c>
      <c r="F23" s="31"/>
      <c r="G23" s="31"/>
      <c r="H23" s="31"/>
      <c r="I23" s="32"/>
      <c r="J23" s="31"/>
      <c r="K23" s="31"/>
      <c r="L23" s="31"/>
      <c r="M23" s="31"/>
    </row>
    <row r="24" spans="1:13">
      <c r="A24" s="5">
        <v>23</v>
      </c>
      <c r="B24" s="6" t="s">
        <v>127</v>
      </c>
      <c r="C24" s="6" t="s">
        <v>128</v>
      </c>
      <c r="D24" s="6" t="s">
        <v>99</v>
      </c>
      <c r="E24" s="12" t="s">
        <v>63</v>
      </c>
      <c r="F24" s="31"/>
      <c r="G24" s="31"/>
      <c r="H24" s="31"/>
      <c r="I24" s="32"/>
      <c r="J24" s="31"/>
      <c r="K24" s="31"/>
      <c r="L24" s="31"/>
      <c r="M24" s="31"/>
    </row>
    <row r="25" spans="1:13">
      <c r="A25" s="5">
        <v>24</v>
      </c>
      <c r="B25" s="6" t="s">
        <v>134</v>
      </c>
      <c r="C25" s="6" t="s">
        <v>135</v>
      </c>
      <c r="D25" s="6" t="s">
        <v>99</v>
      </c>
      <c r="E25" s="12" t="s">
        <v>63</v>
      </c>
      <c r="F25" s="31"/>
      <c r="G25" s="31"/>
      <c r="H25" s="31"/>
      <c r="I25" s="32"/>
      <c r="J25" s="91"/>
      <c r="K25" s="31"/>
      <c r="L25" s="31"/>
      <c r="M25" s="31"/>
    </row>
    <row r="26" spans="1:13">
      <c r="A26" s="5">
        <v>25</v>
      </c>
      <c r="B26" s="6" t="s">
        <v>140</v>
      </c>
      <c r="C26" s="6" t="s">
        <v>141</v>
      </c>
      <c r="D26" s="6" t="s">
        <v>99</v>
      </c>
      <c r="E26" s="12" t="s">
        <v>63</v>
      </c>
      <c r="F26" s="31"/>
      <c r="G26" s="31"/>
      <c r="H26" s="31"/>
      <c r="I26" s="32"/>
      <c r="J26" s="31"/>
      <c r="K26" s="31"/>
      <c r="L26" s="31"/>
      <c r="M26" s="31"/>
    </row>
    <row r="27" spans="1:13">
      <c r="A27" s="5">
        <v>26</v>
      </c>
      <c r="B27" s="6" t="s">
        <v>464</v>
      </c>
      <c r="C27" s="6" t="s">
        <v>465</v>
      </c>
      <c r="D27" s="6" t="s">
        <v>99</v>
      </c>
      <c r="E27" s="12" t="s">
        <v>85</v>
      </c>
      <c r="F27" s="31"/>
      <c r="G27" s="31"/>
      <c r="H27" s="31"/>
      <c r="I27" s="32"/>
      <c r="J27" s="31"/>
      <c r="K27" s="31"/>
      <c r="L27" s="31"/>
      <c r="M27" s="31"/>
    </row>
    <row r="28" spans="1:13" ht="24">
      <c r="A28" s="5">
        <v>27</v>
      </c>
      <c r="B28" s="6" t="s">
        <v>102</v>
      </c>
      <c r="C28" s="6" t="s">
        <v>428</v>
      </c>
      <c r="D28" s="6" t="s">
        <v>99</v>
      </c>
      <c r="E28" s="12" t="s">
        <v>85</v>
      </c>
      <c r="F28" s="117" t="s">
        <v>466</v>
      </c>
      <c r="G28" s="118" t="s">
        <v>467</v>
      </c>
      <c r="H28" s="118">
        <v>2025</v>
      </c>
      <c r="I28" s="118">
        <v>1</v>
      </c>
      <c r="J28" s="117" t="s">
        <v>468</v>
      </c>
      <c r="K28" s="118"/>
      <c r="L28" s="118" t="s">
        <v>97</v>
      </c>
      <c r="M28" s="31"/>
    </row>
    <row r="29" spans="1:13" ht="15.75">
      <c r="A29" s="5">
        <v>27</v>
      </c>
      <c r="B29" s="6" t="s">
        <v>145</v>
      </c>
      <c r="C29" s="6" t="s">
        <v>146</v>
      </c>
      <c r="D29" s="6" t="s">
        <v>99</v>
      </c>
      <c r="E29" s="12" t="s">
        <v>85</v>
      </c>
      <c r="F29" s="31"/>
      <c r="G29" s="31"/>
      <c r="H29" s="31"/>
      <c r="I29" s="32"/>
      <c r="J29" s="31"/>
      <c r="K29" s="31"/>
      <c r="L29" s="31"/>
      <c r="M29" s="31"/>
    </row>
    <row r="30" spans="1:13" ht="15.75">
      <c r="A30" s="5">
        <v>28</v>
      </c>
      <c r="B30" s="6" t="s">
        <v>149</v>
      </c>
      <c r="C30" s="6" t="s">
        <v>150</v>
      </c>
      <c r="D30" s="6" t="s">
        <v>99</v>
      </c>
      <c r="E30" s="12" t="s">
        <v>427</v>
      </c>
      <c r="F30" s="31"/>
      <c r="G30" s="31"/>
      <c r="H30" s="31"/>
      <c r="I30" s="32"/>
      <c r="J30" s="91"/>
      <c r="K30" s="31"/>
      <c r="L30" s="31"/>
      <c r="M30" s="31"/>
    </row>
    <row r="31" spans="1:13" ht="15.75">
      <c r="A31" s="5">
        <v>29</v>
      </c>
      <c r="B31" s="6" t="s">
        <v>158</v>
      </c>
      <c r="C31" s="6" t="s">
        <v>159</v>
      </c>
      <c r="D31" s="6" t="s">
        <v>160</v>
      </c>
      <c r="E31" s="12" t="s">
        <v>16</v>
      </c>
      <c r="F31" s="31"/>
      <c r="G31" s="31"/>
      <c r="H31" s="31"/>
      <c r="I31" s="32"/>
      <c r="J31" s="31"/>
      <c r="K31" s="31"/>
      <c r="L31" s="31"/>
      <c r="M31" s="31"/>
    </row>
    <row r="32" spans="1:13" ht="15.75">
      <c r="A32" s="5">
        <v>30</v>
      </c>
      <c r="B32" s="6" t="s">
        <v>469</v>
      </c>
      <c r="C32" s="6" t="s">
        <v>106</v>
      </c>
      <c r="D32" s="6" t="s">
        <v>160</v>
      </c>
      <c r="E32" s="12" t="s">
        <v>470</v>
      </c>
      <c r="F32" s="31"/>
      <c r="G32" s="31"/>
      <c r="H32" s="31"/>
      <c r="I32" s="32"/>
      <c r="J32" s="31"/>
      <c r="K32" s="31"/>
      <c r="L32" s="31"/>
      <c r="M32" s="31"/>
    </row>
    <row r="33" spans="1:13" ht="15.75">
      <c r="A33" s="5">
        <v>31</v>
      </c>
      <c r="B33" s="6" t="s">
        <v>168</v>
      </c>
      <c r="C33" s="6" t="s">
        <v>169</v>
      </c>
      <c r="D33" s="6" t="s">
        <v>160</v>
      </c>
      <c r="E33" s="12" t="s">
        <v>433</v>
      </c>
      <c r="F33" s="31"/>
      <c r="G33" s="31"/>
      <c r="H33" s="31"/>
      <c r="I33" s="32"/>
      <c r="J33" s="31"/>
      <c r="K33" s="31"/>
      <c r="L33" s="31"/>
      <c r="M33" s="31"/>
    </row>
    <row r="34" spans="1:13" ht="15.75">
      <c r="A34" s="5">
        <v>32</v>
      </c>
      <c r="B34" s="6" t="s">
        <v>173</v>
      </c>
      <c r="C34" s="6" t="s">
        <v>174</v>
      </c>
      <c r="D34" s="6" t="s">
        <v>160</v>
      </c>
      <c r="E34" s="12" t="s">
        <v>433</v>
      </c>
      <c r="F34" s="31"/>
      <c r="G34" s="31"/>
      <c r="H34" s="31"/>
      <c r="I34" s="32"/>
      <c r="J34" s="31"/>
      <c r="K34" s="31"/>
      <c r="L34" s="31"/>
      <c r="M34" s="31"/>
    </row>
    <row r="35" spans="1:13" ht="15.75">
      <c r="A35" s="5">
        <v>33</v>
      </c>
      <c r="B35" s="6" t="s">
        <v>184</v>
      </c>
      <c r="C35" s="6" t="s">
        <v>185</v>
      </c>
      <c r="D35" s="6" t="s">
        <v>160</v>
      </c>
      <c r="E35" s="12" t="s">
        <v>433</v>
      </c>
      <c r="F35" s="31"/>
      <c r="G35" s="31"/>
      <c r="H35" s="31"/>
      <c r="I35" s="32"/>
      <c r="J35" s="31"/>
      <c r="K35" s="31"/>
      <c r="L35" s="31"/>
      <c r="M35" s="31"/>
    </row>
    <row r="36" spans="1:13" ht="15.75">
      <c r="A36" s="5">
        <v>34</v>
      </c>
      <c r="B36" s="6" t="s">
        <v>471</v>
      </c>
      <c r="C36" s="6" t="s">
        <v>472</v>
      </c>
      <c r="D36" s="6" t="s">
        <v>160</v>
      </c>
      <c r="E36" s="12" t="s">
        <v>433</v>
      </c>
      <c r="F36" s="31"/>
      <c r="G36" s="31"/>
      <c r="H36" s="31"/>
      <c r="I36" s="32"/>
      <c r="J36" s="31"/>
      <c r="K36" s="31"/>
      <c r="L36" s="31"/>
      <c r="M36" s="31"/>
    </row>
    <row r="37" spans="1:13" ht="15.75">
      <c r="A37" s="5">
        <v>35</v>
      </c>
      <c r="B37" s="6" t="s">
        <v>473</v>
      </c>
      <c r="C37" s="6" t="s">
        <v>474</v>
      </c>
      <c r="D37" s="6" t="s">
        <v>160</v>
      </c>
      <c r="E37" s="12" t="s">
        <v>435</v>
      </c>
      <c r="F37" s="31"/>
      <c r="G37" s="31"/>
      <c r="H37" s="31"/>
      <c r="I37" s="32"/>
      <c r="J37" s="31"/>
      <c r="K37" s="31"/>
      <c r="L37" s="31"/>
      <c r="M37" s="31"/>
    </row>
    <row r="38" spans="1:13" ht="15.75">
      <c r="A38" s="5">
        <v>36</v>
      </c>
      <c r="B38" s="6" t="s">
        <v>154</v>
      </c>
      <c r="C38" s="6" t="s">
        <v>155</v>
      </c>
      <c r="D38" s="6" t="s">
        <v>160</v>
      </c>
      <c r="E38" s="12" t="s">
        <v>435</v>
      </c>
      <c r="F38" s="31"/>
      <c r="G38" s="31"/>
      <c r="H38" s="31"/>
      <c r="I38" s="32"/>
      <c r="J38" s="31"/>
      <c r="K38" s="31"/>
      <c r="L38" s="31"/>
      <c r="M38" s="31"/>
    </row>
    <row r="39" spans="1:13" ht="15.75">
      <c r="A39" s="5">
        <v>37</v>
      </c>
      <c r="B39" s="6" t="s">
        <v>187</v>
      </c>
      <c r="C39" s="6" t="s">
        <v>188</v>
      </c>
      <c r="D39" s="6" t="s">
        <v>160</v>
      </c>
      <c r="E39" s="12" t="s">
        <v>435</v>
      </c>
      <c r="F39" s="31"/>
      <c r="G39" s="31"/>
      <c r="H39" s="31"/>
      <c r="I39" s="32"/>
      <c r="J39" s="31"/>
      <c r="K39" s="31"/>
      <c r="L39" s="31"/>
      <c r="M39" s="31"/>
    </row>
    <row r="40" spans="1:13" ht="15.75">
      <c r="A40" s="5">
        <v>38</v>
      </c>
      <c r="B40" s="6" t="s">
        <v>475</v>
      </c>
      <c r="C40" s="6" t="s">
        <v>476</v>
      </c>
      <c r="D40" s="6" t="s">
        <v>160</v>
      </c>
      <c r="E40" s="12" t="s">
        <v>435</v>
      </c>
      <c r="F40" s="31"/>
      <c r="G40" s="31"/>
      <c r="H40" s="31"/>
      <c r="I40" s="32"/>
      <c r="J40" s="31"/>
      <c r="K40" s="31"/>
      <c r="L40" s="31"/>
      <c r="M40" s="31"/>
    </row>
    <row r="41" spans="1:13" ht="15.75">
      <c r="A41" s="5">
        <v>39</v>
      </c>
      <c r="B41" s="6" t="s">
        <v>172</v>
      </c>
      <c r="C41" s="6" t="s">
        <v>202</v>
      </c>
      <c r="D41" s="6" t="s">
        <v>160</v>
      </c>
      <c r="E41" s="12" t="s">
        <v>477</v>
      </c>
      <c r="F41" s="31"/>
      <c r="G41" s="31"/>
      <c r="H41" s="31"/>
      <c r="I41" s="32"/>
      <c r="J41" s="31"/>
      <c r="K41" s="31"/>
      <c r="L41" s="31"/>
      <c r="M41" s="31"/>
    </row>
    <row r="42" spans="1:13" ht="15.75">
      <c r="A42" s="5">
        <v>40</v>
      </c>
      <c r="B42" s="6" t="s">
        <v>205</v>
      </c>
      <c r="C42" s="6" t="s">
        <v>206</v>
      </c>
      <c r="D42" s="6" t="s">
        <v>160</v>
      </c>
      <c r="E42" s="12" t="s">
        <v>477</v>
      </c>
      <c r="F42" s="31"/>
      <c r="G42" s="31"/>
      <c r="H42" s="31"/>
      <c r="I42" s="32"/>
      <c r="J42" s="31"/>
      <c r="K42" s="31"/>
      <c r="L42" s="31"/>
      <c r="M42" s="31"/>
    </row>
    <row r="43" spans="1:13" ht="15.75">
      <c r="A43" s="5">
        <v>41</v>
      </c>
      <c r="B43" s="6" t="s">
        <v>209</v>
      </c>
      <c r="C43" s="6" t="s">
        <v>210</v>
      </c>
      <c r="D43" s="6" t="s">
        <v>160</v>
      </c>
      <c r="E43" s="12" t="s">
        <v>477</v>
      </c>
      <c r="F43" s="31"/>
      <c r="G43" s="31"/>
      <c r="H43" s="31"/>
      <c r="I43" s="32"/>
      <c r="J43" s="31"/>
      <c r="K43" s="31"/>
      <c r="L43" s="31"/>
      <c r="M43" s="31"/>
    </row>
    <row r="44" spans="1:13" ht="15.75">
      <c r="A44" s="5">
        <v>42</v>
      </c>
      <c r="B44" s="6" t="s">
        <v>214</v>
      </c>
      <c r="C44" s="6" t="s">
        <v>215</v>
      </c>
      <c r="D44" s="6" t="s">
        <v>160</v>
      </c>
      <c r="E44" s="12" t="s">
        <v>477</v>
      </c>
      <c r="F44" s="31"/>
      <c r="G44" s="31"/>
      <c r="H44" s="31"/>
      <c r="I44" s="32"/>
      <c r="J44" s="31"/>
      <c r="K44" s="31"/>
      <c r="L44" s="31"/>
      <c r="M44" s="31"/>
    </row>
    <row r="45" spans="1:13" ht="15.75">
      <c r="A45" s="5">
        <v>43</v>
      </c>
      <c r="B45" s="6" t="s">
        <v>478</v>
      </c>
      <c r="C45" s="6" t="s">
        <v>479</v>
      </c>
      <c r="D45" s="6" t="s">
        <v>160</v>
      </c>
      <c r="E45" s="12" t="s">
        <v>480</v>
      </c>
      <c r="F45" s="31"/>
      <c r="G45" s="31"/>
      <c r="H45" s="31"/>
      <c r="I45" s="32"/>
      <c r="J45" s="31"/>
      <c r="K45" s="31"/>
      <c r="L45" s="31"/>
      <c r="M45" s="31"/>
    </row>
    <row r="46" spans="1:13" ht="15.75">
      <c r="A46" s="5">
        <v>44</v>
      </c>
      <c r="B46" s="6" t="s">
        <v>227</v>
      </c>
      <c r="C46" s="6" t="s">
        <v>228</v>
      </c>
      <c r="D46" s="6" t="s">
        <v>229</v>
      </c>
      <c r="E46" s="12" t="s">
        <v>230</v>
      </c>
      <c r="F46" s="31"/>
      <c r="G46" s="31"/>
      <c r="H46" s="31"/>
      <c r="I46" s="32"/>
      <c r="J46" s="31"/>
      <c r="K46" s="31"/>
      <c r="L46" s="31"/>
      <c r="M46" s="31"/>
    </row>
    <row r="47" spans="1:13" ht="15.75">
      <c r="A47" s="5">
        <v>45</v>
      </c>
      <c r="B47" s="6" t="s">
        <v>236</v>
      </c>
      <c r="C47" s="6" t="s">
        <v>237</v>
      </c>
      <c r="D47" s="6" t="s">
        <v>229</v>
      </c>
      <c r="E47" s="12" t="s">
        <v>31</v>
      </c>
      <c r="F47" s="31"/>
      <c r="G47" s="31"/>
      <c r="H47" s="31"/>
      <c r="I47" s="32"/>
      <c r="J47" s="31"/>
      <c r="K47" s="31"/>
      <c r="L47" s="31"/>
      <c r="M47" s="31"/>
    </row>
    <row r="48" spans="1:13" ht="15.75">
      <c r="A48" s="5">
        <v>46</v>
      </c>
      <c r="B48" s="6" t="s">
        <v>239</v>
      </c>
      <c r="C48" s="6" t="s">
        <v>240</v>
      </c>
      <c r="D48" s="6" t="s">
        <v>229</v>
      </c>
      <c r="E48" s="12" t="s">
        <v>31</v>
      </c>
      <c r="F48" s="31"/>
      <c r="G48" s="31"/>
      <c r="H48" s="31"/>
      <c r="I48" s="32"/>
      <c r="J48" s="31"/>
      <c r="K48" s="31"/>
      <c r="L48" s="31"/>
      <c r="M48" s="31"/>
    </row>
    <row r="49" spans="1:13" ht="15.75">
      <c r="A49" s="5">
        <v>47</v>
      </c>
      <c r="B49" s="6" t="s">
        <v>241</v>
      </c>
      <c r="C49" s="6" t="s">
        <v>242</v>
      </c>
      <c r="D49" s="6" t="s">
        <v>229</v>
      </c>
      <c r="E49" s="12" t="s">
        <v>63</v>
      </c>
      <c r="F49" s="31"/>
      <c r="G49" s="31"/>
      <c r="H49" s="31"/>
      <c r="I49" s="32"/>
      <c r="J49" s="31"/>
      <c r="K49" s="31"/>
      <c r="L49" s="31"/>
      <c r="M49" s="31"/>
    </row>
    <row r="50" spans="1:13" ht="15.75">
      <c r="A50" s="5">
        <v>48</v>
      </c>
      <c r="B50" s="6" t="s">
        <v>244</v>
      </c>
      <c r="C50" s="6" t="s">
        <v>245</v>
      </c>
      <c r="D50" s="6" t="s">
        <v>229</v>
      </c>
      <c r="E50" s="12" t="s">
        <v>63</v>
      </c>
      <c r="F50" s="31"/>
      <c r="G50" s="31"/>
      <c r="H50" s="31"/>
      <c r="I50" s="32"/>
      <c r="J50" s="31"/>
      <c r="K50" s="31"/>
      <c r="L50" s="31"/>
      <c r="M50" s="31"/>
    </row>
    <row r="51" spans="1:13" ht="15.75">
      <c r="A51" s="5">
        <v>49</v>
      </c>
      <c r="B51" s="6" t="s">
        <v>246</v>
      </c>
      <c r="C51" s="6" t="s">
        <v>247</v>
      </c>
      <c r="D51" s="6" t="s">
        <v>229</v>
      </c>
      <c r="E51" s="12" t="s">
        <v>63</v>
      </c>
      <c r="F51" s="31"/>
      <c r="G51" s="31"/>
      <c r="H51" s="31"/>
      <c r="I51" s="32"/>
      <c r="J51" s="31"/>
      <c r="K51" s="31"/>
      <c r="L51" s="31"/>
      <c r="M51" s="31"/>
    </row>
    <row r="52" spans="1:13" ht="15.75">
      <c r="A52" s="5">
        <v>50</v>
      </c>
      <c r="B52" s="6" t="s">
        <v>249</v>
      </c>
      <c r="C52" s="6" t="s">
        <v>250</v>
      </c>
      <c r="D52" s="6" t="s">
        <v>229</v>
      </c>
      <c r="E52" s="12" t="s">
        <v>63</v>
      </c>
      <c r="F52" s="31"/>
      <c r="G52" s="31"/>
      <c r="H52" s="31"/>
      <c r="I52" s="32"/>
      <c r="J52" s="31"/>
      <c r="K52" s="31"/>
      <c r="L52" s="31"/>
      <c r="M52" s="31"/>
    </row>
    <row r="53" spans="1:13" ht="15.75">
      <c r="A53" s="5">
        <v>51</v>
      </c>
      <c r="B53" s="6" t="s">
        <v>252</v>
      </c>
      <c r="C53" s="6" t="s">
        <v>253</v>
      </c>
      <c r="D53" s="6" t="s">
        <v>229</v>
      </c>
      <c r="E53" s="12" t="s">
        <v>85</v>
      </c>
      <c r="F53" s="31"/>
      <c r="G53" s="31"/>
      <c r="H53" s="31"/>
      <c r="I53" s="32"/>
      <c r="J53" s="31"/>
      <c r="K53" s="31"/>
      <c r="L53" s="31"/>
      <c r="M53" s="31"/>
    </row>
    <row r="54" spans="1:13" ht="15.75">
      <c r="A54" s="5">
        <v>52</v>
      </c>
      <c r="B54" s="6" t="s">
        <v>197</v>
      </c>
      <c r="C54" s="6" t="s">
        <v>255</v>
      </c>
      <c r="D54" s="13" t="s">
        <v>229</v>
      </c>
      <c r="E54" s="12" t="s">
        <v>85</v>
      </c>
      <c r="F54" s="31"/>
      <c r="G54" s="31"/>
      <c r="H54" s="31"/>
      <c r="I54" s="32"/>
      <c r="J54" s="31"/>
      <c r="K54" s="31"/>
      <c r="L54" s="31"/>
      <c r="M54" s="31"/>
    </row>
    <row r="55" spans="1:13" ht="15.75">
      <c r="A55" s="5">
        <v>53</v>
      </c>
      <c r="B55" s="6" t="s">
        <v>256</v>
      </c>
      <c r="C55" s="12" t="s">
        <v>257</v>
      </c>
      <c r="D55" s="6" t="s">
        <v>258</v>
      </c>
      <c r="E55" s="12" t="s">
        <v>481</v>
      </c>
      <c r="F55" s="31"/>
      <c r="G55" s="31"/>
      <c r="H55" s="31"/>
      <c r="I55" s="32"/>
      <c r="J55" s="31"/>
      <c r="K55" s="31"/>
      <c r="L55" s="31"/>
      <c r="M55" s="31"/>
    </row>
    <row r="56" spans="1:13" ht="15.75">
      <c r="A56" s="5">
        <v>54</v>
      </c>
      <c r="B56" s="6" t="s">
        <v>482</v>
      </c>
      <c r="C56" s="12" t="s">
        <v>483</v>
      </c>
      <c r="D56" s="6" t="s">
        <v>258</v>
      </c>
      <c r="E56" s="12" t="s">
        <v>31</v>
      </c>
      <c r="F56" s="31"/>
      <c r="G56" s="31"/>
      <c r="H56" s="31"/>
      <c r="I56" s="32"/>
      <c r="J56" s="31"/>
      <c r="K56" s="31"/>
      <c r="L56" s="31"/>
      <c r="M56" s="31"/>
    </row>
    <row r="57" spans="1:13" ht="15.75">
      <c r="A57" s="5">
        <v>55</v>
      </c>
      <c r="B57" s="6" t="s">
        <v>261</v>
      </c>
      <c r="C57" s="12" t="s">
        <v>262</v>
      </c>
      <c r="D57" s="6" t="s">
        <v>258</v>
      </c>
      <c r="E57" s="12" t="s">
        <v>31</v>
      </c>
      <c r="F57" s="31"/>
      <c r="G57" s="31"/>
      <c r="H57" s="31"/>
      <c r="I57" s="32"/>
      <c r="J57" s="31"/>
      <c r="K57" s="31"/>
      <c r="L57" s="31"/>
      <c r="M57" s="31"/>
    </row>
    <row r="58" spans="1:13" ht="15.75">
      <c r="A58" s="5">
        <v>56</v>
      </c>
      <c r="B58" s="6" t="s">
        <v>264</v>
      </c>
      <c r="C58" s="12" t="s">
        <v>265</v>
      </c>
      <c r="D58" s="6" t="s">
        <v>258</v>
      </c>
      <c r="E58" s="12" t="s">
        <v>53</v>
      </c>
      <c r="F58" s="31"/>
      <c r="G58" s="31"/>
      <c r="H58" s="31"/>
      <c r="I58" s="32"/>
      <c r="J58" s="31"/>
      <c r="K58" s="31"/>
      <c r="L58" s="31"/>
      <c r="M58" s="31"/>
    </row>
    <row r="59" spans="1:13" ht="15.75">
      <c r="A59" s="5">
        <v>57</v>
      </c>
      <c r="B59" s="6" t="s">
        <v>267</v>
      </c>
      <c r="C59" s="12" t="s">
        <v>268</v>
      </c>
      <c r="D59" s="6" t="s">
        <v>258</v>
      </c>
      <c r="E59" s="12" t="s">
        <v>53</v>
      </c>
      <c r="F59" s="31"/>
      <c r="G59" s="31"/>
      <c r="H59" s="31"/>
      <c r="I59" s="32"/>
      <c r="J59" s="31"/>
      <c r="K59" s="31"/>
      <c r="L59" s="31"/>
      <c r="M59" s="31"/>
    </row>
    <row r="60" spans="1:13" ht="15.75">
      <c r="A60" s="5">
        <v>58</v>
      </c>
      <c r="B60" s="6" t="s">
        <v>199</v>
      </c>
      <c r="C60" s="12" t="s">
        <v>200</v>
      </c>
      <c r="D60" s="6" t="s">
        <v>258</v>
      </c>
      <c r="E60" s="12" t="s">
        <v>53</v>
      </c>
      <c r="F60" s="31"/>
      <c r="G60" s="31"/>
      <c r="H60" s="31"/>
      <c r="I60" s="32"/>
      <c r="J60" s="31"/>
      <c r="K60" s="31"/>
      <c r="L60" s="31"/>
      <c r="M60" s="31"/>
    </row>
    <row r="61" spans="1:13" ht="15.75">
      <c r="A61" s="5">
        <v>59</v>
      </c>
      <c r="B61" s="6" t="s">
        <v>272</v>
      </c>
      <c r="C61" s="12" t="s">
        <v>273</v>
      </c>
      <c r="D61" s="6" t="s">
        <v>258</v>
      </c>
      <c r="E61" s="12" t="s">
        <v>63</v>
      </c>
      <c r="F61" s="31"/>
      <c r="G61" s="31"/>
      <c r="H61" s="31"/>
      <c r="I61" s="32"/>
      <c r="J61" s="31"/>
      <c r="K61" s="31"/>
      <c r="L61" s="31"/>
      <c r="M61" s="31"/>
    </row>
    <row r="62" spans="1:13" ht="15.75">
      <c r="A62" s="5">
        <v>60</v>
      </c>
      <c r="B62" s="6" t="s">
        <v>277</v>
      </c>
      <c r="C62" s="12" t="s">
        <v>278</v>
      </c>
      <c r="D62" s="6" t="s">
        <v>258</v>
      </c>
      <c r="E62" s="12" t="s">
        <v>63</v>
      </c>
      <c r="F62" s="31"/>
      <c r="G62" s="31"/>
      <c r="H62" s="31"/>
      <c r="I62" s="32"/>
      <c r="J62" s="31"/>
      <c r="K62" s="31"/>
      <c r="L62" s="31"/>
      <c r="M62" s="31"/>
    </row>
    <row r="63" spans="1:13" ht="15.75">
      <c r="A63" s="5">
        <v>61</v>
      </c>
      <c r="B63" s="6" t="s">
        <v>280</v>
      </c>
      <c r="C63" s="12" t="s">
        <v>281</v>
      </c>
      <c r="D63" s="6" t="s">
        <v>258</v>
      </c>
      <c r="E63" s="12" t="s">
        <v>63</v>
      </c>
      <c r="F63" s="31"/>
      <c r="G63" s="31"/>
      <c r="H63" s="31"/>
      <c r="I63" s="32"/>
      <c r="J63" s="31"/>
      <c r="K63" s="31"/>
      <c r="L63" s="31"/>
      <c r="M63" s="31"/>
    </row>
    <row r="64" spans="1:13" ht="15.75">
      <c r="A64" s="5">
        <v>62</v>
      </c>
      <c r="B64" s="6" t="s">
        <v>283</v>
      </c>
      <c r="C64" s="12" t="s">
        <v>284</v>
      </c>
      <c r="D64" s="6" t="s">
        <v>258</v>
      </c>
      <c r="E64" s="12" t="s">
        <v>85</v>
      </c>
      <c r="F64" s="31"/>
      <c r="G64" s="31"/>
      <c r="H64" s="31"/>
      <c r="I64" s="32"/>
      <c r="J64" s="31"/>
      <c r="K64" s="31"/>
      <c r="L64" s="31"/>
      <c r="M64" s="31"/>
    </row>
    <row r="65" spans="1:13" ht="15.75">
      <c r="A65" s="5">
        <v>63</v>
      </c>
      <c r="B65" s="6" t="s">
        <v>286</v>
      </c>
      <c r="C65" s="12" t="s">
        <v>287</v>
      </c>
      <c r="D65" s="6" t="s">
        <v>258</v>
      </c>
      <c r="E65" s="12" t="s">
        <v>85</v>
      </c>
      <c r="F65" s="31"/>
      <c r="G65" s="31"/>
      <c r="H65" s="31"/>
      <c r="I65" s="32"/>
      <c r="J65" s="31"/>
      <c r="K65" s="31"/>
      <c r="L65" s="31"/>
      <c r="M65" s="31"/>
    </row>
    <row r="66" spans="1:13" ht="15.75">
      <c r="A66" s="5">
        <v>64</v>
      </c>
      <c r="B66" s="6" t="s">
        <v>289</v>
      </c>
      <c r="C66" s="12" t="s">
        <v>290</v>
      </c>
      <c r="D66" s="6" t="s">
        <v>258</v>
      </c>
      <c r="E66" s="12" t="s">
        <v>85</v>
      </c>
      <c r="F66" s="31"/>
      <c r="G66" s="31"/>
      <c r="H66" s="31"/>
      <c r="I66" s="32"/>
      <c r="J66" s="31"/>
      <c r="K66" s="31"/>
      <c r="L66" s="31"/>
      <c r="M66" s="31"/>
    </row>
    <row r="67" spans="1:13" ht="15.75">
      <c r="A67" s="5">
        <v>65</v>
      </c>
      <c r="B67" s="6" t="s">
        <v>292</v>
      </c>
      <c r="C67" s="12" t="s">
        <v>293</v>
      </c>
      <c r="D67" s="6" t="s">
        <v>258</v>
      </c>
      <c r="E67" s="12" t="s">
        <v>85</v>
      </c>
      <c r="F67" s="31"/>
      <c r="G67" s="31"/>
      <c r="H67" s="31"/>
      <c r="I67" s="32"/>
      <c r="J67" s="31"/>
      <c r="K67" s="31"/>
      <c r="L67" s="31"/>
      <c r="M67" s="31"/>
    </row>
    <row r="68" spans="1:13" ht="15.75">
      <c r="A68" s="5">
        <v>66</v>
      </c>
      <c r="B68" s="6" t="s">
        <v>296</v>
      </c>
      <c r="C68" s="12" t="s">
        <v>297</v>
      </c>
      <c r="D68" s="6" t="s">
        <v>298</v>
      </c>
      <c r="E68" s="12" t="s">
        <v>16</v>
      </c>
      <c r="F68" s="31"/>
      <c r="G68" s="31"/>
      <c r="H68" s="31"/>
      <c r="I68" s="32"/>
      <c r="J68" s="31"/>
      <c r="K68" s="31"/>
      <c r="L68" s="31"/>
      <c r="M68" s="31"/>
    </row>
    <row r="69" spans="1:13" ht="15.75">
      <c r="A69" s="5">
        <v>67</v>
      </c>
      <c r="B69" s="6" t="s">
        <v>302</v>
      </c>
      <c r="C69" s="6" t="s">
        <v>303</v>
      </c>
      <c r="D69" s="14" t="s">
        <v>298</v>
      </c>
      <c r="E69" s="12" t="s">
        <v>31</v>
      </c>
      <c r="F69" s="31"/>
      <c r="G69" s="31"/>
      <c r="H69" s="31"/>
      <c r="I69" s="32"/>
      <c r="J69" s="31"/>
      <c r="K69" s="31"/>
      <c r="L69" s="31"/>
      <c r="M69" s="31"/>
    </row>
    <row r="70" spans="1:13" ht="15.75">
      <c r="A70" s="5">
        <v>68</v>
      </c>
      <c r="B70" s="6" t="s">
        <v>307</v>
      </c>
      <c r="C70" s="6" t="s">
        <v>308</v>
      </c>
      <c r="D70" s="6" t="s">
        <v>298</v>
      </c>
      <c r="E70" s="12" t="s">
        <v>31</v>
      </c>
      <c r="F70" s="31"/>
      <c r="G70" s="31"/>
      <c r="H70" s="31"/>
      <c r="I70" s="32"/>
      <c r="J70" s="31"/>
      <c r="K70" s="31"/>
      <c r="L70" s="31"/>
      <c r="M70" s="31"/>
    </row>
    <row r="71" spans="1:13" ht="15.75">
      <c r="A71" s="5">
        <v>69</v>
      </c>
      <c r="B71" s="6" t="s">
        <v>315</v>
      </c>
      <c r="C71" s="6" t="s">
        <v>316</v>
      </c>
      <c r="D71" s="6" t="s">
        <v>298</v>
      </c>
      <c r="E71" s="12" t="s">
        <v>53</v>
      </c>
      <c r="F71" s="31"/>
      <c r="G71" s="31"/>
      <c r="H71" s="31"/>
      <c r="I71" s="32"/>
      <c r="J71" s="31"/>
      <c r="K71" s="31"/>
      <c r="L71" s="31"/>
      <c r="M71" s="31"/>
    </row>
    <row r="72" spans="1:13" ht="15.75">
      <c r="A72" s="5">
        <v>70</v>
      </c>
      <c r="B72" s="6" t="s">
        <v>318</v>
      </c>
      <c r="C72" s="6" t="s">
        <v>319</v>
      </c>
      <c r="D72" s="6" t="s">
        <v>298</v>
      </c>
      <c r="E72" s="12" t="s">
        <v>53</v>
      </c>
      <c r="F72" s="31"/>
      <c r="G72" s="31"/>
      <c r="H72" s="31"/>
      <c r="I72" s="32"/>
      <c r="J72" s="31"/>
      <c r="K72" s="31"/>
      <c r="L72" s="31"/>
      <c r="M72" s="31"/>
    </row>
    <row r="73" spans="1:13" ht="15.75">
      <c r="A73" s="5">
        <v>71</v>
      </c>
      <c r="B73" s="6" t="s">
        <v>310</v>
      </c>
      <c r="C73" s="6" t="s">
        <v>311</v>
      </c>
      <c r="D73" s="6" t="s">
        <v>298</v>
      </c>
      <c r="E73" s="12" t="s">
        <v>53</v>
      </c>
      <c r="F73" s="31"/>
      <c r="G73" s="31"/>
      <c r="H73" s="31"/>
      <c r="I73" s="32"/>
      <c r="J73" s="31"/>
      <c r="K73" s="31"/>
      <c r="L73" s="31"/>
      <c r="M73" s="31"/>
    </row>
    <row r="74" spans="1:13" ht="15.75">
      <c r="A74" s="5">
        <v>72</v>
      </c>
      <c r="B74" s="6" t="s">
        <v>325</v>
      </c>
      <c r="C74" s="6" t="s">
        <v>326</v>
      </c>
      <c r="D74" s="6" t="s">
        <v>298</v>
      </c>
      <c r="E74" s="12" t="s">
        <v>53</v>
      </c>
      <c r="F74" s="31"/>
      <c r="G74" s="31"/>
      <c r="H74" s="31"/>
      <c r="I74" s="32"/>
      <c r="J74" s="31"/>
      <c r="K74" s="31"/>
      <c r="L74" s="31"/>
      <c r="M74" s="31"/>
    </row>
    <row r="75" spans="1:13" ht="15.75">
      <c r="A75" s="5">
        <v>73</v>
      </c>
      <c r="B75" s="6" t="s">
        <v>331</v>
      </c>
      <c r="C75" s="6" t="s">
        <v>332</v>
      </c>
      <c r="D75" s="6" t="s">
        <v>298</v>
      </c>
      <c r="E75" s="12" t="s">
        <v>53</v>
      </c>
      <c r="F75" s="31"/>
      <c r="G75" s="31"/>
      <c r="H75" s="31"/>
      <c r="I75" s="32"/>
      <c r="J75" s="31"/>
      <c r="K75" s="31"/>
      <c r="L75" s="31"/>
      <c r="M75" s="31"/>
    </row>
    <row r="76" spans="1:13" ht="15.75">
      <c r="A76" s="5">
        <v>74</v>
      </c>
      <c r="B76" s="6" t="s">
        <v>397</v>
      </c>
      <c r="C76" s="6" t="s">
        <v>398</v>
      </c>
      <c r="D76" s="6" t="s">
        <v>298</v>
      </c>
      <c r="E76" s="12" t="s">
        <v>53</v>
      </c>
      <c r="F76" s="31"/>
      <c r="G76" s="31"/>
      <c r="H76" s="31"/>
      <c r="I76" s="32"/>
      <c r="J76" s="31"/>
      <c r="K76" s="31"/>
      <c r="L76" s="31"/>
      <c r="M76" s="31"/>
    </row>
    <row r="77" spans="1:13" ht="15.75">
      <c r="A77" s="5">
        <v>75</v>
      </c>
      <c r="B77" s="6" t="s">
        <v>339</v>
      </c>
      <c r="C77" s="6" t="s">
        <v>340</v>
      </c>
      <c r="D77" s="6" t="s">
        <v>298</v>
      </c>
      <c r="E77" s="12" t="s">
        <v>63</v>
      </c>
      <c r="F77" s="31"/>
      <c r="G77" s="31"/>
      <c r="H77" s="31"/>
      <c r="I77" s="32"/>
      <c r="J77" s="31"/>
      <c r="K77" s="31"/>
      <c r="L77" s="31"/>
      <c r="M77" s="31"/>
    </row>
    <row r="78" spans="1:13" ht="15.75">
      <c r="A78" s="5">
        <v>76</v>
      </c>
      <c r="B78" s="6" t="s">
        <v>343</v>
      </c>
      <c r="C78" s="6" t="s">
        <v>344</v>
      </c>
      <c r="D78" s="6" t="s">
        <v>298</v>
      </c>
      <c r="E78" s="12" t="s">
        <v>63</v>
      </c>
      <c r="F78" s="31"/>
      <c r="G78" s="31"/>
      <c r="H78" s="31"/>
      <c r="I78" s="32"/>
      <c r="J78" s="31"/>
      <c r="K78" s="31"/>
      <c r="L78" s="31"/>
      <c r="M78" s="31"/>
    </row>
    <row r="79" spans="1:13" ht="15.75">
      <c r="A79" s="5">
        <v>77</v>
      </c>
      <c r="B79" s="6" t="s">
        <v>347</v>
      </c>
      <c r="C79" s="6" t="s">
        <v>348</v>
      </c>
      <c r="D79" s="6" t="s">
        <v>298</v>
      </c>
      <c r="E79" s="12" t="s">
        <v>63</v>
      </c>
      <c r="F79" s="31"/>
      <c r="G79" s="31"/>
      <c r="H79" s="31"/>
      <c r="I79" s="32"/>
      <c r="J79" s="31"/>
      <c r="K79" s="31"/>
      <c r="L79" s="31"/>
      <c r="M79" s="31"/>
    </row>
    <row r="80" spans="1:13" ht="15.75">
      <c r="A80" s="5">
        <v>78</v>
      </c>
      <c r="B80" s="6" t="s">
        <v>334</v>
      </c>
      <c r="C80" s="6" t="s">
        <v>335</v>
      </c>
      <c r="D80" s="6" t="s">
        <v>298</v>
      </c>
      <c r="E80" s="12" t="s">
        <v>63</v>
      </c>
      <c r="F80" s="31"/>
      <c r="G80" s="31"/>
      <c r="H80" s="31"/>
      <c r="I80" s="32"/>
      <c r="J80" s="31"/>
      <c r="K80" s="31"/>
      <c r="L80" s="31"/>
      <c r="M80" s="31"/>
    </row>
    <row r="81" spans="1:13" ht="15.75">
      <c r="A81" s="5">
        <v>79</v>
      </c>
      <c r="B81" s="6" t="s">
        <v>306</v>
      </c>
      <c r="C81" s="6" t="s">
        <v>357</v>
      </c>
      <c r="D81" s="6" t="s">
        <v>298</v>
      </c>
      <c r="E81" s="12" t="s">
        <v>85</v>
      </c>
      <c r="F81" s="31"/>
      <c r="G81" s="31"/>
      <c r="H81" s="31"/>
      <c r="I81" s="32"/>
      <c r="J81" s="31"/>
      <c r="K81" s="31"/>
      <c r="L81" s="31"/>
      <c r="M81" s="31"/>
    </row>
    <row r="82" spans="1:13" ht="15.75">
      <c r="A82" s="5">
        <v>80</v>
      </c>
      <c r="B82" s="6" t="s">
        <v>351</v>
      </c>
      <c r="C82" s="6" t="s">
        <v>352</v>
      </c>
      <c r="D82" s="6" t="s">
        <v>298</v>
      </c>
      <c r="E82" s="12" t="s">
        <v>85</v>
      </c>
      <c r="F82" s="31"/>
      <c r="G82" s="31"/>
      <c r="H82" s="31"/>
      <c r="I82" s="32"/>
      <c r="J82" s="31"/>
      <c r="K82" s="31"/>
      <c r="L82" s="31"/>
      <c r="M82" s="31"/>
    </row>
    <row r="83" spans="1:13" ht="15.75">
      <c r="A83" s="5">
        <v>81</v>
      </c>
      <c r="B83" s="6" t="s">
        <v>365</v>
      </c>
      <c r="C83" s="6" t="s">
        <v>366</v>
      </c>
      <c r="D83" s="6" t="s">
        <v>298</v>
      </c>
      <c r="E83" s="12" t="s">
        <v>367</v>
      </c>
      <c r="F83" s="31"/>
      <c r="G83" s="31"/>
      <c r="H83" s="31"/>
      <c r="I83" s="32"/>
      <c r="J83" s="31"/>
      <c r="K83" s="31"/>
      <c r="L83" s="31"/>
      <c r="M83" s="31"/>
    </row>
    <row r="84" spans="1:13" ht="15.75">
      <c r="A84" s="5">
        <v>82</v>
      </c>
      <c r="B84" s="6" t="s">
        <v>373</v>
      </c>
      <c r="C84" s="6" t="s">
        <v>374</v>
      </c>
      <c r="D84" s="6" t="s">
        <v>375</v>
      </c>
      <c r="E84" s="12" t="s">
        <v>376</v>
      </c>
      <c r="F84" s="31"/>
      <c r="G84" s="31"/>
      <c r="H84" s="31"/>
      <c r="I84" s="32"/>
      <c r="J84" s="31"/>
      <c r="K84" s="31"/>
      <c r="L84" s="31"/>
      <c r="M84" s="31"/>
    </row>
    <row r="85" spans="1:13" ht="15.75">
      <c r="A85" s="5">
        <v>83</v>
      </c>
      <c r="B85" s="6" t="s">
        <v>377</v>
      </c>
      <c r="C85" s="6" t="s">
        <v>378</v>
      </c>
      <c r="D85" s="6" t="s">
        <v>375</v>
      </c>
      <c r="E85" s="12" t="s">
        <v>379</v>
      </c>
      <c r="F85" s="31"/>
      <c r="G85" s="31"/>
      <c r="H85" s="31"/>
      <c r="I85" s="32"/>
      <c r="J85" s="31"/>
      <c r="K85" s="31"/>
      <c r="L85" s="31"/>
      <c r="M85" s="31"/>
    </row>
    <row r="86" spans="1:13" ht="15.75">
      <c r="A86" s="5">
        <v>84</v>
      </c>
      <c r="B86" s="6" t="s">
        <v>380</v>
      </c>
      <c r="C86" s="6" t="s">
        <v>381</v>
      </c>
      <c r="D86" s="6" t="s">
        <v>375</v>
      </c>
      <c r="E86" s="12" t="s">
        <v>382</v>
      </c>
      <c r="F86" s="31"/>
      <c r="G86" s="31"/>
      <c r="H86" s="31"/>
      <c r="I86" s="32"/>
      <c r="J86" s="31"/>
      <c r="K86" s="31"/>
      <c r="L86" s="31"/>
      <c r="M86" s="31"/>
    </row>
    <row r="87" spans="1:13" ht="15.75">
      <c r="A87" s="5">
        <v>85</v>
      </c>
      <c r="B87" s="6" t="s">
        <v>383</v>
      </c>
      <c r="C87" s="6" t="s">
        <v>384</v>
      </c>
      <c r="D87" s="6" t="s">
        <v>375</v>
      </c>
      <c r="E87" s="12" t="s">
        <v>367</v>
      </c>
      <c r="F87" s="31"/>
      <c r="G87" s="31"/>
      <c r="H87" s="31"/>
      <c r="I87" s="32"/>
      <c r="J87" s="31"/>
      <c r="K87" s="31"/>
      <c r="L87" s="31"/>
      <c r="M87" s="31"/>
    </row>
    <row r="88" spans="1:13" ht="15.75">
      <c r="A88" s="5">
        <v>86</v>
      </c>
      <c r="B88" s="6" t="s">
        <v>385</v>
      </c>
      <c r="C88" s="6" t="s">
        <v>386</v>
      </c>
      <c r="D88" s="6" t="s">
        <v>375</v>
      </c>
      <c r="E88" s="12" t="s">
        <v>387</v>
      </c>
    </row>
  </sheetData>
  <conditionalFormatting sqref="I2:I27 I29:I87">
    <cfRule type="containsErrors" dxfId="2" priority="1" stopIfTrue="1">
      <formula>ISERROR(I2)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103FE8-5375-474A-AD18-2D1A5A91DAE5}">
          <x14:formula1>
            <xm:f>Data!$B$147</xm:f>
          </x14:formula1>
          <xm:sqref>F2:F13 F15:F27 F29:F87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64CC-E11E-DA41-83CB-69902BFD9A89}">
  <dimension ref="A1:N99"/>
  <sheetViews>
    <sheetView workbookViewId="0">
      <selection activeCell="K39" sqref="K39"/>
    </sheetView>
  </sheetViews>
  <sheetFormatPr defaultColWidth="11" defaultRowHeight="15.95"/>
  <cols>
    <col min="1" max="1" width="6.125" customWidth="1"/>
    <col min="2" max="2" width="51.625" customWidth="1"/>
    <col min="3" max="3" width="20.875" customWidth="1"/>
    <col min="4" max="4" width="21.625" customWidth="1"/>
    <col min="5" max="5" width="38.625" customWidth="1"/>
    <col min="6" max="6" width="23.625" bestFit="1" customWidth="1"/>
    <col min="8" max="8" width="12.5" customWidth="1"/>
    <col min="10" max="10" width="29" customWidth="1"/>
    <col min="12" max="12" width="21.125" bestFit="1" customWidth="1"/>
  </cols>
  <sheetData>
    <row r="1" spans="1:14" s="16" customFormat="1" ht="24.95">
      <c r="A1" s="27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8" t="s">
        <v>5</v>
      </c>
      <c r="G1" s="28" t="s">
        <v>6</v>
      </c>
      <c r="H1" s="28" t="s">
        <v>409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30"/>
    </row>
    <row r="2" spans="1:14">
      <c r="A2" s="5">
        <v>1</v>
      </c>
      <c r="B2" s="6" t="s">
        <v>13</v>
      </c>
      <c r="C2" s="6" t="s">
        <v>14</v>
      </c>
      <c r="D2" s="6" t="s">
        <v>15</v>
      </c>
      <c r="E2" s="12" t="s">
        <v>16</v>
      </c>
      <c r="F2" s="31"/>
      <c r="G2" s="31"/>
      <c r="H2" s="31"/>
      <c r="I2" s="32"/>
      <c r="J2" s="31"/>
      <c r="K2" s="31"/>
      <c r="L2" s="31"/>
      <c r="M2" s="31"/>
    </row>
    <row r="3" spans="1:14">
      <c r="A3" s="5">
        <v>2</v>
      </c>
      <c r="B3" s="6" t="s">
        <v>21</v>
      </c>
      <c r="C3" s="6" t="s">
        <v>22</v>
      </c>
      <c r="D3" s="6" t="s">
        <v>15</v>
      </c>
      <c r="E3" s="12" t="s">
        <v>23</v>
      </c>
      <c r="F3" s="31" t="s">
        <v>484</v>
      </c>
      <c r="G3" s="31" t="str">
        <f>VLOOKUP(F3,Data!$B$147:$D$147,2,FALSE)</f>
        <v>GoPro</v>
      </c>
      <c r="H3" s="31">
        <f>VLOOKUP(F3,Data!$B$147:$D$147,3,FALSE)</f>
        <v>2024</v>
      </c>
      <c r="I3" s="32">
        <f ca="1">YEAR(TODAY()) - H3</f>
        <v>2</v>
      </c>
      <c r="J3" s="33" t="s">
        <v>485</v>
      </c>
      <c r="K3" s="31"/>
      <c r="L3" s="31" t="s">
        <v>21</v>
      </c>
      <c r="M3" s="31"/>
    </row>
    <row r="4" spans="1:14">
      <c r="A4" s="5">
        <v>3</v>
      </c>
      <c r="B4" s="6" t="s">
        <v>29</v>
      </c>
      <c r="C4" s="6" t="s">
        <v>30</v>
      </c>
      <c r="D4" s="6" t="s">
        <v>15</v>
      </c>
      <c r="E4" s="12" t="s">
        <v>31</v>
      </c>
      <c r="F4" s="31" t="s">
        <v>484</v>
      </c>
      <c r="G4" s="31" t="str">
        <f>VLOOKUP(F4,Data!$B$147:$D$147,2,FALSE)</f>
        <v>GoPro</v>
      </c>
      <c r="H4" s="31">
        <f>VLOOKUP(F4,Data!$B$147:$D$147,3,FALSE)</f>
        <v>2024</v>
      </c>
      <c r="I4" s="32">
        <f ca="1">YEAR(TODAY()) - H4</f>
        <v>2</v>
      </c>
      <c r="J4" s="33" t="s">
        <v>486</v>
      </c>
      <c r="K4" s="31"/>
      <c r="L4" s="31" t="s">
        <v>29</v>
      </c>
      <c r="M4" s="31"/>
    </row>
    <row r="5" spans="1:14">
      <c r="A5" s="5">
        <v>4</v>
      </c>
      <c r="B5" s="6" t="s">
        <v>414</v>
      </c>
      <c r="C5" s="6" t="s">
        <v>415</v>
      </c>
      <c r="D5" s="6" t="s">
        <v>15</v>
      </c>
      <c r="E5" s="12" t="s">
        <v>63</v>
      </c>
      <c r="F5" s="36"/>
      <c r="G5" s="31"/>
      <c r="H5" s="31"/>
      <c r="I5" s="32"/>
      <c r="J5" s="31"/>
      <c r="K5" s="31"/>
      <c r="L5" s="31"/>
      <c r="M5" s="31"/>
    </row>
    <row r="6" spans="1:14">
      <c r="A6" s="5">
        <v>5</v>
      </c>
      <c r="B6" s="6" t="s">
        <v>36</v>
      </c>
      <c r="C6" s="6" t="s">
        <v>37</v>
      </c>
      <c r="D6" s="6" t="s">
        <v>15</v>
      </c>
      <c r="E6" s="38" t="s">
        <v>63</v>
      </c>
      <c r="F6" s="36" t="s">
        <v>484</v>
      </c>
      <c r="G6" s="35" t="str">
        <f>VLOOKUP(F6,Data!$B$147:$D$147,2,FALSE)</f>
        <v>GoPro</v>
      </c>
      <c r="H6" s="31">
        <f>VLOOKUP(F6,Data!$B$147:$D$147,3,FALSE)</f>
        <v>2024</v>
      </c>
      <c r="I6" s="32">
        <f ca="1">YEAR(TODAY()) - H6</f>
        <v>2</v>
      </c>
      <c r="J6" s="33" t="s">
        <v>487</v>
      </c>
      <c r="K6" s="31"/>
      <c r="L6" s="31" t="s">
        <v>36</v>
      </c>
      <c r="M6" s="31"/>
    </row>
    <row r="7" spans="1:14" hidden="1">
      <c r="A7" s="5"/>
      <c r="B7" s="6"/>
      <c r="C7" s="6"/>
      <c r="D7" s="12"/>
      <c r="E7" s="37"/>
      <c r="F7" s="35" t="s">
        <v>488</v>
      </c>
      <c r="G7" s="35" t="s">
        <v>488</v>
      </c>
      <c r="H7" s="31">
        <v>2023</v>
      </c>
      <c r="I7" s="32">
        <f t="shared" ref="I7:I8" ca="1" si="0">YEAR(TODAY()) - H7</f>
        <v>3</v>
      </c>
      <c r="J7" s="31"/>
      <c r="K7" s="31"/>
      <c r="L7" s="31" t="s">
        <v>36</v>
      </c>
      <c r="M7" s="31"/>
    </row>
    <row r="8" spans="1:14" hidden="1">
      <c r="A8" s="5"/>
      <c r="B8" s="6"/>
      <c r="C8" s="6"/>
      <c r="D8" s="12"/>
      <c r="E8" s="37"/>
      <c r="F8" s="35" t="s">
        <v>488</v>
      </c>
      <c r="G8" s="35" t="s">
        <v>488</v>
      </c>
      <c r="H8" s="31">
        <v>2023</v>
      </c>
      <c r="I8" s="32">
        <f t="shared" ca="1" si="0"/>
        <v>3</v>
      </c>
      <c r="J8" s="31"/>
      <c r="K8" s="31"/>
      <c r="L8" s="31" t="s">
        <v>36</v>
      </c>
      <c r="M8" s="31"/>
    </row>
    <row r="9" spans="1:14">
      <c r="A9" s="5"/>
      <c r="B9" s="6"/>
      <c r="C9" s="6"/>
      <c r="D9" s="12"/>
      <c r="E9" s="37"/>
      <c r="F9" s="35" t="s">
        <v>489</v>
      </c>
      <c r="G9" s="35" t="s">
        <v>490</v>
      </c>
      <c r="H9" s="31"/>
      <c r="I9" s="32"/>
      <c r="J9" s="31"/>
      <c r="K9" s="31"/>
      <c r="L9" s="31" t="s">
        <v>36</v>
      </c>
      <c r="M9" s="31"/>
    </row>
    <row r="10" spans="1:14">
      <c r="A10" s="5"/>
      <c r="B10" s="6"/>
      <c r="C10" s="6"/>
      <c r="D10" s="6"/>
      <c r="E10" s="39"/>
      <c r="F10" s="31" t="s">
        <v>491</v>
      </c>
      <c r="G10" s="31"/>
      <c r="H10" s="31"/>
      <c r="I10" s="32"/>
      <c r="J10" s="31"/>
      <c r="K10" s="31"/>
      <c r="L10" s="31" t="s">
        <v>36</v>
      </c>
      <c r="M10" s="31"/>
    </row>
    <row r="11" spans="1:14">
      <c r="A11" s="5">
        <v>6</v>
      </c>
      <c r="B11" s="6" t="s">
        <v>51</v>
      </c>
      <c r="C11" s="6" t="s">
        <v>52</v>
      </c>
      <c r="D11" s="6" t="s">
        <v>15</v>
      </c>
      <c r="E11" s="12" t="s">
        <v>63</v>
      </c>
      <c r="F11" s="31"/>
      <c r="G11" s="31"/>
      <c r="H11" s="31"/>
      <c r="I11" s="32"/>
      <c r="J11" s="31"/>
      <c r="K11" s="31"/>
      <c r="L11" s="31"/>
      <c r="M11" s="31"/>
    </row>
    <row r="12" spans="1:14">
      <c r="A12" s="5">
        <v>7</v>
      </c>
      <c r="B12" s="6" t="s">
        <v>58</v>
      </c>
      <c r="C12" s="6" t="s">
        <v>59</v>
      </c>
      <c r="D12" s="6" t="s">
        <v>15</v>
      </c>
      <c r="E12" s="12" t="s">
        <v>63</v>
      </c>
      <c r="F12" s="31" t="s">
        <v>484</v>
      </c>
      <c r="G12" s="31" t="str">
        <f>VLOOKUP(F12,Data!$B$147:$D$147,2,FALSE)</f>
        <v>GoPro</v>
      </c>
      <c r="H12" s="31">
        <f>VLOOKUP(F12,Data!$B$147:$D$147,3,FALSE)</f>
        <v>2024</v>
      </c>
      <c r="I12" s="32">
        <f ca="1">YEAR(TODAY()) - H12</f>
        <v>2</v>
      </c>
      <c r="J12" s="33" t="s">
        <v>492</v>
      </c>
      <c r="K12" s="31"/>
      <c r="L12" s="31" t="s">
        <v>58</v>
      </c>
      <c r="M12" s="31"/>
    </row>
    <row r="13" spans="1:14">
      <c r="A13" s="5">
        <v>8</v>
      </c>
      <c r="B13" s="6" t="s">
        <v>61</v>
      </c>
      <c r="C13" s="6" t="s">
        <v>62</v>
      </c>
      <c r="D13" s="6" t="s">
        <v>15</v>
      </c>
      <c r="E13" s="12" t="s">
        <v>63</v>
      </c>
      <c r="F13" s="31"/>
      <c r="G13" s="31"/>
      <c r="H13" s="31"/>
      <c r="I13" s="32"/>
      <c r="J13" s="31"/>
      <c r="K13" s="31"/>
      <c r="L13" s="31"/>
      <c r="M13" s="31"/>
    </row>
    <row r="14" spans="1:14">
      <c r="A14" s="5">
        <v>9</v>
      </c>
      <c r="B14" s="6" t="s">
        <v>67</v>
      </c>
      <c r="C14" s="6" t="s">
        <v>68</v>
      </c>
      <c r="D14" s="6" t="s">
        <v>15</v>
      </c>
      <c r="E14" s="12" t="s">
        <v>63</v>
      </c>
      <c r="F14" s="31"/>
      <c r="G14" s="31"/>
      <c r="H14" s="31"/>
      <c r="I14" s="32"/>
      <c r="J14" s="31"/>
      <c r="K14" s="31"/>
      <c r="L14" s="31"/>
      <c r="M14" s="31"/>
    </row>
    <row r="15" spans="1:14">
      <c r="A15" s="5">
        <v>10</v>
      </c>
      <c r="B15" s="6" t="s">
        <v>72</v>
      </c>
      <c r="C15" s="6" t="s">
        <v>73</v>
      </c>
      <c r="D15" s="6" t="s">
        <v>15</v>
      </c>
      <c r="E15" s="12" t="s">
        <v>63</v>
      </c>
      <c r="F15" s="31" t="s">
        <v>484</v>
      </c>
      <c r="G15" s="31" t="str">
        <f>VLOOKUP(F15,Data!$B$147:$D$147,2,FALSE)</f>
        <v>GoPro</v>
      </c>
      <c r="H15" s="31">
        <f>VLOOKUP(F15,Data!$B$147:$D$147,3,FALSE)</f>
        <v>2024</v>
      </c>
      <c r="I15" s="32">
        <f ca="1">YEAR(TODAY()) - H15</f>
        <v>2</v>
      </c>
      <c r="J15" s="33" t="s">
        <v>493</v>
      </c>
      <c r="K15" s="31"/>
      <c r="L15" s="31" t="s">
        <v>72</v>
      </c>
      <c r="M15" s="31"/>
    </row>
    <row r="16" spans="1:14">
      <c r="A16" s="5">
        <v>11</v>
      </c>
      <c r="B16" s="6" t="s">
        <v>75</v>
      </c>
      <c r="C16" s="6" t="s">
        <v>76</v>
      </c>
      <c r="D16" s="6" t="s">
        <v>15</v>
      </c>
      <c r="E16" s="12" t="s">
        <v>63</v>
      </c>
      <c r="F16" s="31"/>
      <c r="G16" s="31"/>
      <c r="H16" s="31"/>
      <c r="I16" s="32"/>
      <c r="J16" s="31"/>
      <c r="K16" s="31"/>
      <c r="L16" s="31"/>
      <c r="M16" s="31"/>
    </row>
    <row r="17" spans="1:13">
      <c r="A17" s="5">
        <v>12</v>
      </c>
      <c r="B17" s="6" t="s">
        <v>80</v>
      </c>
      <c r="C17" s="6" t="s">
        <v>81</v>
      </c>
      <c r="D17" s="6" t="s">
        <v>15</v>
      </c>
      <c r="E17" s="12" t="s">
        <v>63</v>
      </c>
      <c r="F17" s="31"/>
      <c r="G17" s="31"/>
      <c r="H17" s="31"/>
      <c r="I17" s="32"/>
      <c r="J17" s="31"/>
      <c r="K17" s="31"/>
      <c r="L17" s="31"/>
      <c r="M17" s="31"/>
    </row>
    <row r="18" spans="1:13">
      <c r="A18" s="5">
        <v>13</v>
      </c>
      <c r="B18" s="6" t="s">
        <v>457</v>
      </c>
      <c r="C18" s="6" t="s">
        <v>458</v>
      </c>
      <c r="D18" s="6" t="s">
        <v>15</v>
      </c>
      <c r="E18" s="12" t="s">
        <v>85</v>
      </c>
      <c r="F18" s="31" t="s">
        <v>489</v>
      </c>
      <c r="G18" s="31" t="s">
        <v>494</v>
      </c>
      <c r="H18" s="31"/>
      <c r="I18" s="32"/>
      <c r="J18" s="31"/>
      <c r="K18" s="31"/>
      <c r="L18" s="31"/>
      <c r="M18" s="31"/>
    </row>
    <row r="19" spans="1:13">
      <c r="A19" s="5">
        <v>14</v>
      </c>
      <c r="B19" s="6" t="s">
        <v>86</v>
      </c>
      <c r="C19" s="6" t="s">
        <v>87</v>
      </c>
      <c r="D19" s="6" t="s">
        <v>15</v>
      </c>
      <c r="E19" s="12" t="s">
        <v>85</v>
      </c>
      <c r="F19" s="31" t="s">
        <v>484</v>
      </c>
      <c r="G19" s="31" t="str">
        <f>VLOOKUP(F19,Data!$B$147:$D$147,2,FALSE)</f>
        <v>GoPro</v>
      </c>
      <c r="H19" s="31">
        <f>VLOOKUP(F19,Data!$B$147:$D$147,3,FALSE)</f>
        <v>2024</v>
      </c>
      <c r="I19" s="32">
        <f ca="1">YEAR(TODAY()) - H19</f>
        <v>2</v>
      </c>
      <c r="J19" s="33" t="s">
        <v>495</v>
      </c>
      <c r="K19" s="31"/>
      <c r="L19" s="31" t="s">
        <v>86</v>
      </c>
      <c r="M19" s="31"/>
    </row>
    <row r="20" spans="1:13">
      <c r="A20" s="5">
        <v>15</v>
      </c>
      <c r="B20" s="6" t="s">
        <v>90</v>
      </c>
      <c r="C20" s="6" t="s">
        <v>91</v>
      </c>
      <c r="D20" s="6" t="s">
        <v>15</v>
      </c>
      <c r="E20" s="12" t="s">
        <v>85</v>
      </c>
      <c r="F20" s="31"/>
      <c r="G20" s="31"/>
      <c r="H20" s="31"/>
      <c r="I20" s="32"/>
      <c r="J20" s="31"/>
      <c r="K20" s="31"/>
      <c r="L20" s="31"/>
      <c r="M20" s="31"/>
    </row>
    <row r="21" spans="1:13">
      <c r="A21" s="5">
        <v>16</v>
      </c>
      <c r="B21" s="6" t="s">
        <v>93</v>
      </c>
      <c r="C21" s="6" t="s">
        <v>94</v>
      </c>
      <c r="D21" s="6" t="s">
        <v>15</v>
      </c>
      <c r="E21" s="12" t="s">
        <v>95</v>
      </c>
      <c r="F21" s="31"/>
      <c r="G21" s="31"/>
      <c r="H21" s="31"/>
      <c r="I21" s="32"/>
      <c r="J21" s="31"/>
      <c r="K21" s="31"/>
      <c r="L21" s="31"/>
      <c r="M21" s="31"/>
    </row>
    <row r="22" spans="1:13">
      <c r="A22" s="5">
        <v>17</v>
      </c>
      <c r="B22" s="6" t="s">
        <v>97</v>
      </c>
      <c r="C22" s="6" t="s">
        <v>98</v>
      </c>
      <c r="D22" s="6" t="s">
        <v>99</v>
      </c>
      <c r="E22" s="12" t="s">
        <v>100</v>
      </c>
      <c r="F22" s="31"/>
      <c r="G22" s="31"/>
      <c r="H22" s="31"/>
      <c r="I22" s="32"/>
      <c r="J22" s="31"/>
      <c r="K22" s="31"/>
      <c r="L22" s="31"/>
      <c r="M22" s="31"/>
    </row>
    <row r="23" spans="1:13">
      <c r="A23" s="5">
        <v>18</v>
      </c>
      <c r="B23" s="6" t="s">
        <v>113</v>
      </c>
      <c r="C23" s="6" t="s">
        <v>114</v>
      </c>
      <c r="D23" s="6" t="s">
        <v>99</v>
      </c>
      <c r="E23" s="12" t="s">
        <v>115</v>
      </c>
      <c r="F23" s="31"/>
      <c r="G23" s="31"/>
      <c r="H23" s="31"/>
      <c r="I23" s="32"/>
      <c r="J23" s="31"/>
      <c r="K23" s="31"/>
      <c r="L23" s="31"/>
      <c r="M23" s="31"/>
    </row>
    <row r="24" spans="1:13">
      <c r="A24" s="5">
        <v>19</v>
      </c>
      <c r="B24" s="6" t="s">
        <v>127</v>
      </c>
      <c r="C24" s="6" t="s">
        <v>128</v>
      </c>
      <c r="D24" s="6" t="s">
        <v>99</v>
      </c>
      <c r="E24" s="12" t="s">
        <v>63</v>
      </c>
      <c r="F24" s="31"/>
      <c r="G24" s="31"/>
      <c r="H24" s="31"/>
      <c r="I24" s="32"/>
      <c r="J24" s="31"/>
      <c r="K24" s="31"/>
      <c r="L24" s="31"/>
      <c r="M24" s="31"/>
    </row>
    <row r="25" spans="1:13">
      <c r="A25" s="5">
        <v>20</v>
      </c>
      <c r="B25" s="6" t="s">
        <v>134</v>
      </c>
      <c r="C25" s="6" t="s">
        <v>135</v>
      </c>
      <c r="D25" s="6" t="s">
        <v>99</v>
      </c>
      <c r="E25" s="12" t="s">
        <v>63</v>
      </c>
      <c r="F25" s="31" t="s">
        <v>484</v>
      </c>
      <c r="G25" s="31" t="str">
        <f>VLOOKUP(F25,Data!$B$147:$D$147,2,FALSE)</f>
        <v>GoPro</v>
      </c>
      <c r="H25" s="31">
        <f>VLOOKUP(F25,Data!$B$147:$D$147,3,FALSE)</f>
        <v>2024</v>
      </c>
      <c r="I25" s="32">
        <f ca="1">YEAR(TODAY()) - H25</f>
        <v>2</v>
      </c>
      <c r="J25" s="33" t="s">
        <v>496</v>
      </c>
      <c r="K25" s="31"/>
      <c r="L25" s="31"/>
      <c r="M25" s="31"/>
    </row>
    <row r="26" spans="1:13">
      <c r="A26" s="5"/>
      <c r="B26" s="6"/>
      <c r="C26" s="6"/>
      <c r="D26" s="6"/>
      <c r="E26" s="12"/>
      <c r="F26" s="31" t="s">
        <v>484</v>
      </c>
      <c r="G26" s="31" t="str">
        <f>VLOOKUP(F26,Data!$B$147:$D$147,2,FALSE)</f>
        <v>GoPro</v>
      </c>
      <c r="H26" s="31">
        <f>VLOOKUP(F26,Data!$B$147:$D$147,3,FALSE)</f>
        <v>2024</v>
      </c>
      <c r="I26" s="32">
        <f ca="1">YEAR(TODAY()) - H26</f>
        <v>2</v>
      </c>
      <c r="J26" s="34" t="s">
        <v>497</v>
      </c>
      <c r="K26" s="31"/>
      <c r="L26" s="31"/>
      <c r="M26" s="31"/>
    </row>
    <row r="27" spans="1:13">
      <c r="A27" s="5"/>
      <c r="B27" s="6"/>
      <c r="C27" s="6"/>
      <c r="D27" s="6"/>
      <c r="E27" s="12"/>
      <c r="F27" s="31" t="s">
        <v>484</v>
      </c>
      <c r="G27" s="31" t="str">
        <f>VLOOKUP(F27,Data!$B$147:$D$147,2,FALSE)</f>
        <v>GoPro</v>
      </c>
      <c r="H27" s="31">
        <f>VLOOKUP(F27,Data!$B$147:$D$147,3,FALSE)</f>
        <v>2024</v>
      </c>
      <c r="I27" s="32">
        <f ca="1">YEAR(TODAY()) - H27</f>
        <v>2</v>
      </c>
      <c r="J27" s="34" t="s">
        <v>498</v>
      </c>
      <c r="K27" s="31"/>
      <c r="L27" s="31"/>
      <c r="M27" s="31"/>
    </row>
    <row r="28" spans="1:13">
      <c r="A28" s="5">
        <v>21</v>
      </c>
      <c r="B28" s="6" t="s">
        <v>140</v>
      </c>
      <c r="C28" s="6" t="s">
        <v>141</v>
      </c>
      <c r="D28" s="6" t="s">
        <v>99</v>
      </c>
      <c r="E28" s="12" t="s">
        <v>63</v>
      </c>
      <c r="F28" s="31"/>
      <c r="G28" s="31"/>
      <c r="H28" s="31"/>
      <c r="I28" s="32"/>
      <c r="J28" s="31"/>
      <c r="K28" s="31"/>
      <c r="L28" s="31"/>
      <c r="M28" s="31"/>
    </row>
    <row r="29" spans="1:13">
      <c r="A29" s="5">
        <v>22</v>
      </c>
      <c r="B29" s="6" t="s">
        <v>145</v>
      </c>
      <c r="C29" s="6" t="s">
        <v>146</v>
      </c>
      <c r="D29" s="6" t="s">
        <v>99</v>
      </c>
      <c r="E29" s="12" t="s">
        <v>85</v>
      </c>
      <c r="F29" s="31"/>
      <c r="G29" s="31"/>
      <c r="H29" s="31"/>
      <c r="I29" s="32"/>
      <c r="J29" s="31"/>
      <c r="K29" s="31"/>
      <c r="L29" s="31"/>
      <c r="M29" s="31"/>
    </row>
    <row r="30" spans="1:13">
      <c r="A30" s="5">
        <v>23</v>
      </c>
      <c r="B30" s="6" t="s">
        <v>149</v>
      </c>
      <c r="C30" s="6" t="s">
        <v>150</v>
      </c>
      <c r="D30" s="6" t="s">
        <v>99</v>
      </c>
      <c r="E30" s="12" t="s">
        <v>427</v>
      </c>
      <c r="F30" s="31"/>
      <c r="G30" s="31"/>
      <c r="H30" s="31"/>
      <c r="I30" s="32"/>
      <c r="J30" s="31"/>
      <c r="K30" s="31"/>
      <c r="L30" s="31"/>
      <c r="M30" s="31"/>
    </row>
    <row r="31" spans="1:13" ht="24">
      <c r="A31" s="5"/>
      <c r="B31" s="6" t="s">
        <v>154</v>
      </c>
      <c r="C31" s="6" t="s">
        <v>155</v>
      </c>
      <c r="D31" s="6" t="s">
        <v>99</v>
      </c>
      <c r="E31" s="12" t="s">
        <v>433</v>
      </c>
      <c r="F31" s="113" t="s">
        <v>499</v>
      </c>
      <c r="G31" s="114" t="s">
        <v>488</v>
      </c>
      <c r="H31" s="113">
        <v>2025</v>
      </c>
      <c r="I31" s="32"/>
      <c r="J31" s="113" t="s">
        <v>500</v>
      </c>
      <c r="K31" s="31"/>
      <c r="L31" s="31"/>
      <c r="M31" s="31"/>
    </row>
    <row r="32" spans="1:13" ht="24">
      <c r="A32" s="5"/>
      <c r="B32" s="6"/>
      <c r="C32" s="6"/>
      <c r="D32" s="6"/>
      <c r="E32" s="12"/>
      <c r="F32" s="115" t="s">
        <v>501</v>
      </c>
      <c r="G32" s="116" t="s">
        <v>502</v>
      </c>
      <c r="H32" s="115">
        <v>2025</v>
      </c>
      <c r="I32" s="32"/>
      <c r="J32" s="115" t="s">
        <v>503</v>
      </c>
      <c r="K32" s="31"/>
      <c r="L32" s="31"/>
      <c r="M32" s="31"/>
    </row>
    <row r="33" spans="1:13" ht="24">
      <c r="A33" s="5">
        <v>24</v>
      </c>
      <c r="B33" s="6" t="s">
        <v>102</v>
      </c>
      <c r="C33" s="6" t="s">
        <v>428</v>
      </c>
      <c r="D33" s="6" t="s">
        <v>99</v>
      </c>
      <c r="E33" s="12" t="s">
        <v>85</v>
      </c>
      <c r="F33" s="113" t="s">
        <v>499</v>
      </c>
      <c r="G33" s="114" t="s">
        <v>488</v>
      </c>
      <c r="H33" s="113">
        <v>2025</v>
      </c>
      <c r="I33" s="32"/>
      <c r="J33" s="113" t="s">
        <v>504</v>
      </c>
      <c r="K33" s="31"/>
      <c r="L33" s="31" t="s">
        <v>505</v>
      </c>
      <c r="M33" s="31"/>
    </row>
    <row r="34" spans="1:13" ht="24">
      <c r="A34" s="5"/>
      <c r="B34" s="6"/>
      <c r="C34" s="6"/>
      <c r="D34" s="6"/>
      <c r="E34" s="12"/>
      <c r="F34" s="115" t="s">
        <v>501</v>
      </c>
      <c r="G34" s="116" t="s">
        <v>502</v>
      </c>
      <c r="H34" s="115">
        <v>2025</v>
      </c>
      <c r="I34" s="32"/>
      <c r="J34" s="115" t="s">
        <v>506</v>
      </c>
      <c r="K34" s="31"/>
      <c r="L34" s="31"/>
      <c r="M34" s="31"/>
    </row>
    <row r="35" spans="1:13" ht="15.75">
      <c r="A35" s="5">
        <v>24</v>
      </c>
      <c r="B35" s="6" t="s">
        <v>158</v>
      </c>
      <c r="C35" s="6" t="s">
        <v>159</v>
      </c>
      <c r="D35" s="6" t="s">
        <v>160</v>
      </c>
      <c r="E35" s="12" t="s">
        <v>16</v>
      </c>
      <c r="F35" s="31" t="s">
        <v>484</v>
      </c>
      <c r="G35" s="31" t="str">
        <f>VLOOKUP(F35,Data!$B$147:$D$147,2,FALSE)</f>
        <v>GoPro</v>
      </c>
      <c r="H35" s="31">
        <f>VLOOKUP(F35,Data!$B$147:$D$147,3,FALSE)</f>
        <v>2024</v>
      </c>
      <c r="I35" s="32">
        <f ca="1">YEAR(TODAY()) - H35</f>
        <v>2</v>
      </c>
      <c r="J35" s="33" t="s">
        <v>507</v>
      </c>
      <c r="K35" s="31"/>
      <c r="L35" s="31"/>
      <c r="M35" s="31"/>
    </row>
    <row r="36" spans="1:13" ht="15.75">
      <c r="A36" s="5"/>
      <c r="B36" s="6"/>
      <c r="C36" s="6"/>
      <c r="D36" s="6"/>
      <c r="E36" s="12"/>
      <c r="F36" s="31" t="s">
        <v>484</v>
      </c>
      <c r="G36" s="31" t="str">
        <f>VLOOKUP(F36,Data!$B$147:$D$147,2,FALSE)</f>
        <v>GoPro</v>
      </c>
      <c r="H36" s="31">
        <f>VLOOKUP(F36,Data!$B$147:$D$147,3,FALSE)</f>
        <v>2024</v>
      </c>
      <c r="I36" s="32">
        <f ca="1">YEAR(TODAY()) - H36</f>
        <v>2</v>
      </c>
      <c r="J36" s="34" t="s">
        <v>508</v>
      </c>
      <c r="K36" s="31"/>
      <c r="L36" s="31"/>
      <c r="M36" s="31"/>
    </row>
    <row r="37" spans="1:13" ht="15.75">
      <c r="A37" s="5"/>
      <c r="B37" s="6"/>
      <c r="C37" s="6"/>
      <c r="D37" s="6"/>
      <c r="E37" s="12"/>
      <c r="F37" s="31" t="s">
        <v>484</v>
      </c>
      <c r="G37" s="31" t="str">
        <f>VLOOKUP(F37,Data!$B$147:$D$147,2,FALSE)</f>
        <v>GoPro</v>
      </c>
      <c r="H37" s="31">
        <f>VLOOKUP(F37,Data!$B$147:$D$147,3,FALSE)</f>
        <v>2024</v>
      </c>
      <c r="I37" s="32">
        <f ca="1">YEAR(TODAY()) - H37</f>
        <v>2</v>
      </c>
      <c r="J37" s="34" t="s">
        <v>509</v>
      </c>
      <c r="K37" s="31"/>
      <c r="L37" s="31"/>
      <c r="M37" s="31"/>
    </row>
    <row r="38" spans="1:13" ht="15.75">
      <c r="A38" s="5">
        <v>23</v>
      </c>
      <c r="B38" s="6" t="s">
        <v>469</v>
      </c>
      <c r="C38" s="6" t="s">
        <v>106</v>
      </c>
      <c r="D38" s="6" t="s">
        <v>160</v>
      </c>
      <c r="E38" s="12" t="s">
        <v>470</v>
      </c>
      <c r="F38" s="31"/>
      <c r="G38" s="31"/>
      <c r="H38" s="31"/>
      <c r="I38" s="32"/>
      <c r="J38" s="31"/>
      <c r="K38" s="31"/>
      <c r="L38" s="31"/>
      <c r="M38" s="31"/>
    </row>
    <row r="39" spans="1:13" ht="15.75">
      <c r="A39" s="5">
        <v>24</v>
      </c>
      <c r="B39" s="6" t="s">
        <v>168</v>
      </c>
      <c r="C39" s="6" t="s">
        <v>169</v>
      </c>
      <c r="D39" s="6" t="s">
        <v>160</v>
      </c>
      <c r="E39" s="12" t="s">
        <v>433</v>
      </c>
      <c r="F39" s="31"/>
      <c r="G39" s="31"/>
      <c r="H39" s="31"/>
      <c r="I39" s="32"/>
      <c r="J39" s="31"/>
      <c r="K39" s="31"/>
      <c r="L39" s="31"/>
      <c r="M39" s="31"/>
    </row>
    <row r="40" spans="1:13" ht="15.75">
      <c r="A40" s="5">
        <v>25</v>
      </c>
      <c r="B40" s="6" t="s">
        <v>173</v>
      </c>
      <c r="C40" s="6" t="s">
        <v>174</v>
      </c>
      <c r="D40" s="6" t="s">
        <v>160</v>
      </c>
      <c r="E40" s="12" t="s">
        <v>433</v>
      </c>
      <c r="F40" s="31"/>
      <c r="G40" s="31"/>
      <c r="H40" s="31"/>
      <c r="I40" s="32"/>
      <c r="J40" s="31"/>
      <c r="K40" s="31"/>
      <c r="L40" s="31"/>
      <c r="M40" s="31"/>
    </row>
    <row r="41" spans="1:13" ht="15.75">
      <c r="A41" s="5">
        <v>26</v>
      </c>
      <c r="B41" s="6" t="s">
        <v>184</v>
      </c>
      <c r="C41" s="6" t="s">
        <v>185</v>
      </c>
      <c r="D41" s="6" t="s">
        <v>160</v>
      </c>
      <c r="E41" s="12" t="s">
        <v>433</v>
      </c>
      <c r="F41" s="31"/>
      <c r="G41" s="31"/>
      <c r="H41" s="31"/>
      <c r="I41" s="32"/>
      <c r="J41" s="31"/>
      <c r="K41" s="31"/>
      <c r="L41" s="31"/>
      <c r="M41" s="31"/>
    </row>
    <row r="42" spans="1:13" ht="15.75">
      <c r="A42" s="5">
        <v>27</v>
      </c>
      <c r="B42" s="6" t="s">
        <v>471</v>
      </c>
      <c r="C42" s="6" t="s">
        <v>472</v>
      </c>
      <c r="D42" s="6" t="s">
        <v>160</v>
      </c>
      <c r="E42" s="12" t="s">
        <v>433</v>
      </c>
      <c r="F42" s="31"/>
      <c r="G42" s="31"/>
      <c r="H42" s="31"/>
      <c r="I42" s="32"/>
      <c r="J42" s="31"/>
      <c r="K42" s="31"/>
      <c r="L42" s="31"/>
      <c r="M42" s="31"/>
    </row>
    <row r="43" spans="1:13" ht="15.75">
      <c r="A43" s="5">
        <v>28</v>
      </c>
      <c r="B43" s="6" t="s">
        <v>473</v>
      </c>
      <c r="C43" s="6" t="s">
        <v>474</v>
      </c>
      <c r="D43" s="6" t="s">
        <v>160</v>
      </c>
      <c r="E43" s="12" t="s">
        <v>435</v>
      </c>
      <c r="F43" s="31"/>
      <c r="G43" s="31"/>
      <c r="H43" s="31"/>
      <c r="I43" s="32"/>
      <c r="J43" s="31"/>
      <c r="K43" s="31"/>
      <c r="L43" s="31"/>
      <c r="M43" s="31"/>
    </row>
    <row r="44" spans="1:13" ht="15.75">
      <c r="A44" s="5">
        <v>29</v>
      </c>
      <c r="B44" s="6" t="s">
        <v>154</v>
      </c>
      <c r="C44" s="6" t="s">
        <v>155</v>
      </c>
      <c r="D44" s="6" t="s">
        <v>99</v>
      </c>
      <c r="E44" s="12" t="s">
        <v>433</v>
      </c>
      <c r="F44" s="31"/>
      <c r="G44" s="31"/>
      <c r="H44" s="31"/>
      <c r="I44" s="32"/>
      <c r="J44" s="31"/>
      <c r="K44" s="31"/>
      <c r="L44" s="31"/>
      <c r="M44" s="31"/>
    </row>
    <row r="45" spans="1:13" ht="15.75">
      <c r="A45" s="5">
        <v>30</v>
      </c>
      <c r="B45" s="6" t="s">
        <v>187</v>
      </c>
      <c r="C45" s="6" t="s">
        <v>188</v>
      </c>
      <c r="D45" s="6" t="s">
        <v>160</v>
      </c>
      <c r="E45" s="12" t="s">
        <v>435</v>
      </c>
      <c r="F45" s="31"/>
      <c r="G45" s="31"/>
      <c r="H45" s="31"/>
      <c r="I45" s="32"/>
      <c r="J45" s="31"/>
      <c r="K45" s="31"/>
      <c r="L45" s="31"/>
      <c r="M45" s="31"/>
    </row>
    <row r="46" spans="1:13" ht="15.75">
      <c r="A46" s="5">
        <v>31</v>
      </c>
      <c r="B46" s="6" t="s">
        <v>475</v>
      </c>
      <c r="C46" s="6" t="s">
        <v>476</v>
      </c>
      <c r="D46" s="6" t="s">
        <v>160</v>
      </c>
      <c r="E46" s="12" t="s">
        <v>435</v>
      </c>
      <c r="F46" s="31"/>
      <c r="G46" s="31"/>
      <c r="H46" s="31"/>
      <c r="I46" s="32"/>
      <c r="J46" s="31"/>
      <c r="K46" s="31"/>
      <c r="L46" s="31"/>
      <c r="M46" s="31"/>
    </row>
    <row r="47" spans="1:13" ht="15.75">
      <c r="A47" s="5">
        <v>32</v>
      </c>
      <c r="B47" s="6" t="s">
        <v>172</v>
      </c>
      <c r="C47" s="6" t="s">
        <v>202</v>
      </c>
      <c r="D47" s="6" t="s">
        <v>160</v>
      </c>
      <c r="E47" s="12" t="s">
        <v>477</v>
      </c>
      <c r="F47" s="31"/>
      <c r="G47" s="31"/>
      <c r="H47" s="31"/>
      <c r="I47" s="32"/>
      <c r="J47" s="31"/>
      <c r="K47" s="31"/>
      <c r="L47" s="31"/>
      <c r="M47" s="31"/>
    </row>
    <row r="48" spans="1:13" ht="15.75">
      <c r="A48" s="5">
        <v>33</v>
      </c>
      <c r="B48" s="6" t="s">
        <v>205</v>
      </c>
      <c r="C48" s="6" t="s">
        <v>206</v>
      </c>
      <c r="D48" s="6" t="s">
        <v>160</v>
      </c>
      <c r="E48" s="12" t="s">
        <v>477</v>
      </c>
      <c r="F48" s="31"/>
      <c r="G48" s="31"/>
      <c r="H48" s="31"/>
      <c r="I48" s="32"/>
      <c r="J48" s="31"/>
      <c r="K48" s="31"/>
      <c r="L48" s="31"/>
      <c r="M48" s="31"/>
    </row>
    <row r="49" spans="1:13" ht="15.75">
      <c r="A49" s="5">
        <v>34</v>
      </c>
      <c r="B49" s="6" t="s">
        <v>209</v>
      </c>
      <c r="C49" s="6" t="s">
        <v>210</v>
      </c>
      <c r="D49" s="6" t="s">
        <v>160</v>
      </c>
      <c r="E49" s="12" t="s">
        <v>477</v>
      </c>
      <c r="F49" s="31"/>
      <c r="G49" s="31"/>
      <c r="H49" s="31"/>
      <c r="I49" s="32"/>
      <c r="J49" s="31"/>
      <c r="K49" s="31"/>
      <c r="L49" s="31"/>
      <c r="M49" s="31"/>
    </row>
    <row r="50" spans="1:13" ht="15.75">
      <c r="A50" s="5">
        <v>35</v>
      </c>
      <c r="B50" s="6" t="s">
        <v>214</v>
      </c>
      <c r="C50" s="6" t="s">
        <v>215</v>
      </c>
      <c r="D50" s="6" t="s">
        <v>160</v>
      </c>
      <c r="E50" s="12" t="s">
        <v>477</v>
      </c>
      <c r="F50" s="31"/>
      <c r="G50" s="31"/>
      <c r="H50" s="31"/>
      <c r="I50" s="32"/>
      <c r="J50" s="31"/>
      <c r="K50" s="31"/>
      <c r="L50" s="31"/>
      <c r="M50" s="31"/>
    </row>
    <row r="51" spans="1:13" ht="15.75">
      <c r="A51" s="5">
        <v>36</v>
      </c>
      <c r="B51" s="6" t="s">
        <v>478</v>
      </c>
      <c r="C51" s="6" t="s">
        <v>479</v>
      </c>
      <c r="D51" s="6" t="s">
        <v>160</v>
      </c>
      <c r="E51" s="12" t="s">
        <v>480</v>
      </c>
      <c r="F51" s="31"/>
      <c r="G51" s="31"/>
      <c r="H51" s="31"/>
      <c r="I51" s="32"/>
      <c r="J51" s="31"/>
      <c r="K51" s="31"/>
      <c r="L51" s="31"/>
      <c r="M51" s="31"/>
    </row>
    <row r="52" spans="1:13" ht="15.75">
      <c r="A52" s="5">
        <v>37</v>
      </c>
      <c r="B52" s="6" t="s">
        <v>227</v>
      </c>
      <c r="C52" s="6" t="s">
        <v>228</v>
      </c>
      <c r="D52" s="6" t="s">
        <v>229</v>
      </c>
      <c r="E52" s="12" t="s">
        <v>230</v>
      </c>
      <c r="F52" s="31"/>
      <c r="G52" s="31"/>
      <c r="H52" s="31"/>
      <c r="I52" s="32"/>
      <c r="J52" s="31"/>
      <c r="K52" s="31"/>
      <c r="L52" s="31"/>
      <c r="M52" s="31"/>
    </row>
    <row r="53" spans="1:13" ht="15.75">
      <c r="A53" s="5">
        <v>38</v>
      </c>
      <c r="B53" s="6" t="s">
        <v>236</v>
      </c>
      <c r="C53" s="6" t="s">
        <v>237</v>
      </c>
      <c r="D53" s="6" t="s">
        <v>229</v>
      </c>
      <c r="E53" s="12" t="s">
        <v>31</v>
      </c>
      <c r="F53" s="31"/>
      <c r="G53" s="31"/>
      <c r="H53" s="31"/>
      <c r="I53" s="32"/>
      <c r="J53" s="31"/>
      <c r="K53" s="31"/>
      <c r="L53" s="31"/>
      <c r="M53" s="31"/>
    </row>
    <row r="54" spans="1:13" ht="15.75">
      <c r="A54" s="5">
        <v>39</v>
      </c>
      <c r="B54" s="6" t="s">
        <v>239</v>
      </c>
      <c r="C54" s="6" t="s">
        <v>240</v>
      </c>
      <c r="D54" s="6" t="s">
        <v>229</v>
      </c>
      <c r="E54" s="12" t="s">
        <v>31</v>
      </c>
      <c r="F54" s="31"/>
      <c r="G54" s="31"/>
      <c r="H54" s="31"/>
      <c r="I54" s="32"/>
      <c r="J54" s="31"/>
      <c r="K54" s="31"/>
      <c r="L54" s="31"/>
      <c r="M54" s="31"/>
    </row>
    <row r="55" spans="1:13" ht="15.75">
      <c r="A55" s="5">
        <v>40</v>
      </c>
      <c r="B55" s="6" t="s">
        <v>241</v>
      </c>
      <c r="C55" s="6" t="s">
        <v>242</v>
      </c>
      <c r="D55" s="6" t="s">
        <v>229</v>
      </c>
      <c r="E55" s="12" t="s">
        <v>63</v>
      </c>
      <c r="F55" s="31"/>
      <c r="G55" s="31"/>
      <c r="H55" s="31"/>
      <c r="I55" s="32"/>
      <c r="J55" s="31"/>
      <c r="K55" s="31"/>
      <c r="L55" s="31"/>
      <c r="M55" s="31"/>
    </row>
    <row r="56" spans="1:13" ht="15.75">
      <c r="A56" s="5">
        <v>41</v>
      </c>
      <c r="B56" s="6" t="s">
        <v>244</v>
      </c>
      <c r="C56" s="6" t="s">
        <v>245</v>
      </c>
      <c r="D56" s="6" t="s">
        <v>229</v>
      </c>
      <c r="E56" s="12" t="s">
        <v>63</v>
      </c>
      <c r="F56" s="31"/>
      <c r="G56" s="31"/>
      <c r="H56" s="31"/>
      <c r="I56" s="32"/>
      <c r="J56" s="31"/>
      <c r="K56" s="31"/>
      <c r="L56" s="31"/>
      <c r="M56" s="31"/>
    </row>
    <row r="57" spans="1:13" ht="15.75">
      <c r="A57" s="5">
        <v>42</v>
      </c>
      <c r="B57" s="6" t="s">
        <v>246</v>
      </c>
      <c r="C57" s="6" t="s">
        <v>247</v>
      </c>
      <c r="D57" s="6" t="s">
        <v>229</v>
      </c>
      <c r="E57" s="12" t="s">
        <v>63</v>
      </c>
      <c r="F57" s="31"/>
      <c r="G57" s="31"/>
      <c r="H57" s="31"/>
      <c r="I57" s="32"/>
      <c r="J57" s="31"/>
      <c r="K57" s="31"/>
      <c r="L57" s="31"/>
      <c r="M57" s="31"/>
    </row>
    <row r="58" spans="1:13" ht="15.75">
      <c r="A58" s="5">
        <v>43</v>
      </c>
      <c r="B58" s="6" t="s">
        <v>249</v>
      </c>
      <c r="C58" s="6" t="s">
        <v>250</v>
      </c>
      <c r="D58" s="6" t="s">
        <v>229</v>
      </c>
      <c r="E58" s="12" t="s">
        <v>63</v>
      </c>
      <c r="F58" s="31"/>
      <c r="G58" s="31"/>
      <c r="H58" s="31"/>
      <c r="I58" s="32"/>
      <c r="J58" s="31"/>
      <c r="K58" s="31"/>
      <c r="L58" s="31"/>
      <c r="M58" s="31"/>
    </row>
    <row r="59" spans="1:13" ht="15.75">
      <c r="A59" s="5">
        <v>44</v>
      </c>
      <c r="B59" s="6" t="s">
        <v>252</v>
      </c>
      <c r="C59" s="6" t="s">
        <v>253</v>
      </c>
      <c r="D59" s="6" t="s">
        <v>229</v>
      </c>
      <c r="E59" s="12" t="s">
        <v>85</v>
      </c>
      <c r="F59" s="31"/>
      <c r="G59" s="31"/>
      <c r="H59" s="31"/>
      <c r="I59" s="32"/>
      <c r="J59" s="31"/>
      <c r="K59" s="31"/>
      <c r="L59" s="31"/>
      <c r="M59" s="31"/>
    </row>
    <row r="60" spans="1:13" ht="15.75">
      <c r="A60" s="5">
        <v>45</v>
      </c>
      <c r="B60" s="6" t="s">
        <v>197</v>
      </c>
      <c r="C60" s="6" t="s">
        <v>255</v>
      </c>
      <c r="D60" s="13" t="s">
        <v>229</v>
      </c>
      <c r="E60" s="12" t="s">
        <v>85</v>
      </c>
      <c r="F60" s="31"/>
      <c r="G60" s="31"/>
      <c r="H60" s="31"/>
      <c r="I60" s="32"/>
      <c r="J60" s="31"/>
      <c r="K60" s="31"/>
      <c r="L60" s="31"/>
      <c r="M60" s="31"/>
    </row>
    <row r="61" spans="1:13" ht="15.75">
      <c r="A61" s="5">
        <v>46</v>
      </c>
      <c r="B61" s="6" t="s">
        <v>256</v>
      </c>
      <c r="C61" s="12" t="s">
        <v>257</v>
      </c>
      <c r="D61" s="6" t="s">
        <v>258</v>
      </c>
      <c r="E61" s="12" t="s">
        <v>481</v>
      </c>
      <c r="F61" s="31"/>
      <c r="G61" s="31"/>
      <c r="H61" s="31"/>
      <c r="I61" s="32"/>
      <c r="J61" s="31"/>
      <c r="K61" s="31"/>
      <c r="L61" s="31"/>
      <c r="M61" s="31"/>
    </row>
    <row r="62" spans="1:13" ht="15.75">
      <c r="A62" s="5">
        <v>47</v>
      </c>
      <c r="B62" s="6" t="s">
        <v>482</v>
      </c>
      <c r="C62" s="12" t="s">
        <v>483</v>
      </c>
      <c r="D62" s="6" t="s">
        <v>258</v>
      </c>
      <c r="E62" s="12" t="s">
        <v>31</v>
      </c>
      <c r="F62" s="31"/>
      <c r="G62" s="31"/>
      <c r="H62" s="31"/>
      <c r="I62" s="32"/>
      <c r="J62" s="31"/>
      <c r="K62" s="31"/>
      <c r="L62" s="31"/>
      <c r="M62" s="31"/>
    </row>
    <row r="63" spans="1:13" ht="15.75">
      <c r="A63" s="5">
        <v>48</v>
      </c>
      <c r="B63" s="6" t="s">
        <v>261</v>
      </c>
      <c r="C63" s="12" t="s">
        <v>262</v>
      </c>
      <c r="D63" s="6" t="s">
        <v>258</v>
      </c>
      <c r="E63" s="12" t="s">
        <v>31</v>
      </c>
      <c r="F63" s="31"/>
      <c r="G63" s="31"/>
      <c r="H63" s="31"/>
      <c r="I63" s="32"/>
      <c r="J63" s="31"/>
      <c r="K63" s="31"/>
      <c r="L63" s="31"/>
      <c r="M63" s="31"/>
    </row>
    <row r="64" spans="1:13" ht="15.75">
      <c r="A64" s="5">
        <v>49</v>
      </c>
      <c r="B64" s="6" t="s">
        <v>264</v>
      </c>
      <c r="C64" s="12" t="s">
        <v>265</v>
      </c>
      <c r="D64" s="6" t="s">
        <v>258</v>
      </c>
      <c r="E64" s="12" t="s">
        <v>53</v>
      </c>
      <c r="F64" s="31"/>
      <c r="G64" s="31"/>
      <c r="H64" s="31"/>
      <c r="I64" s="32"/>
      <c r="J64" s="31"/>
      <c r="K64" s="31"/>
      <c r="L64" s="31"/>
      <c r="M64" s="31"/>
    </row>
    <row r="65" spans="1:13" ht="15.75">
      <c r="A65" s="5">
        <v>50</v>
      </c>
      <c r="B65" s="6" t="s">
        <v>267</v>
      </c>
      <c r="C65" s="12" t="s">
        <v>268</v>
      </c>
      <c r="D65" s="6" t="s">
        <v>258</v>
      </c>
      <c r="E65" s="12" t="s">
        <v>53</v>
      </c>
      <c r="F65" s="31"/>
      <c r="G65" s="31"/>
      <c r="H65" s="31"/>
      <c r="I65" s="32"/>
      <c r="J65" s="31"/>
      <c r="K65" s="31"/>
      <c r="L65" s="31"/>
      <c r="M65" s="31"/>
    </row>
    <row r="66" spans="1:13" ht="15.75">
      <c r="A66" s="5">
        <v>51</v>
      </c>
      <c r="B66" s="6" t="s">
        <v>199</v>
      </c>
      <c r="C66" s="12" t="s">
        <v>200</v>
      </c>
      <c r="D66" s="6" t="s">
        <v>258</v>
      </c>
      <c r="E66" s="12" t="s">
        <v>53</v>
      </c>
      <c r="F66" s="31"/>
      <c r="G66" s="31"/>
      <c r="H66" s="31"/>
      <c r="I66" s="32"/>
      <c r="J66" s="31"/>
      <c r="K66" s="31"/>
      <c r="L66" s="31"/>
      <c r="M66" s="31"/>
    </row>
    <row r="67" spans="1:13" ht="15.75">
      <c r="A67" s="5">
        <v>52</v>
      </c>
      <c r="B67" s="6" t="s">
        <v>272</v>
      </c>
      <c r="C67" s="12" t="s">
        <v>273</v>
      </c>
      <c r="D67" s="6" t="s">
        <v>258</v>
      </c>
      <c r="E67" s="12" t="s">
        <v>63</v>
      </c>
      <c r="F67" s="31"/>
      <c r="G67" s="31"/>
      <c r="H67" s="31"/>
      <c r="I67" s="32"/>
      <c r="J67" s="31"/>
      <c r="K67" s="31"/>
      <c r="L67" s="31"/>
      <c r="M67" s="31"/>
    </row>
    <row r="68" spans="1:13" ht="15.75">
      <c r="A68" s="5">
        <v>53</v>
      </c>
      <c r="B68" s="6" t="s">
        <v>277</v>
      </c>
      <c r="C68" s="12" t="s">
        <v>278</v>
      </c>
      <c r="D68" s="6" t="s">
        <v>258</v>
      </c>
      <c r="E68" s="12" t="s">
        <v>63</v>
      </c>
      <c r="F68" s="31"/>
      <c r="G68" s="31"/>
      <c r="H68" s="31"/>
      <c r="I68" s="32"/>
      <c r="J68" s="31"/>
      <c r="K68" s="31"/>
      <c r="L68" s="31"/>
      <c r="M68" s="31"/>
    </row>
    <row r="69" spans="1:13" ht="15.75">
      <c r="A69" s="5">
        <v>54</v>
      </c>
      <c r="B69" s="6" t="s">
        <v>280</v>
      </c>
      <c r="C69" s="12" t="s">
        <v>281</v>
      </c>
      <c r="D69" s="6" t="s">
        <v>258</v>
      </c>
      <c r="E69" s="12" t="s">
        <v>63</v>
      </c>
      <c r="F69" s="31"/>
      <c r="G69" s="31"/>
      <c r="H69" s="31"/>
      <c r="I69" s="32"/>
      <c r="J69" s="31"/>
      <c r="K69" s="31"/>
      <c r="L69" s="31"/>
      <c r="M69" s="31"/>
    </row>
    <row r="70" spans="1:13" ht="15.75">
      <c r="A70" s="5">
        <v>55</v>
      </c>
      <c r="B70" s="6" t="s">
        <v>283</v>
      </c>
      <c r="C70" s="12" t="s">
        <v>284</v>
      </c>
      <c r="D70" s="6" t="s">
        <v>258</v>
      </c>
      <c r="E70" s="12" t="s">
        <v>85</v>
      </c>
      <c r="F70" s="31"/>
      <c r="G70" s="31"/>
      <c r="H70" s="31"/>
      <c r="I70" s="32"/>
      <c r="J70" s="31"/>
      <c r="K70" s="31"/>
      <c r="L70" s="31"/>
      <c r="M70" s="31"/>
    </row>
    <row r="71" spans="1:13" ht="15.75">
      <c r="A71" s="5">
        <v>56</v>
      </c>
      <c r="B71" s="6" t="s">
        <v>286</v>
      </c>
      <c r="C71" s="12" t="s">
        <v>287</v>
      </c>
      <c r="D71" s="6" t="s">
        <v>258</v>
      </c>
      <c r="E71" s="12" t="s">
        <v>85</v>
      </c>
      <c r="F71" s="31"/>
      <c r="G71" s="31"/>
      <c r="H71" s="31"/>
      <c r="I71" s="32"/>
      <c r="J71" s="31"/>
      <c r="K71" s="31"/>
      <c r="L71" s="31"/>
      <c r="M71" s="31"/>
    </row>
    <row r="72" spans="1:13" ht="15.75">
      <c r="A72" s="5">
        <v>57</v>
      </c>
      <c r="B72" s="6" t="s">
        <v>289</v>
      </c>
      <c r="C72" s="12" t="s">
        <v>290</v>
      </c>
      <c r="D72" s="6" t="s">
        <v>258</v>
      </c>
      <c r="E72" s="12" t="s">
        <v>85</v>
      </c>
      <c r="F72" s="31"/>
      <c r="G72" s="31"/>
      <c r="H72" s="31"/>
      <c r="I72" s="32"/>
      <c r="J72" s="31"/>
      <c r="K72" s="31"/>
      <c r="L72" s="31"/>
      <c r="M72" s="31"/>
    </row>
    <row r="73" spans="1:13" ht="15.75">
      <c r="A73" s="5">
        <v>58</v>
      </c>
      <c r="B73" s="6" t="s">
        <v>292</v>
      </c>
      <c r="C73" s="12" t="s">
        <v>293</v>
      </c>
      <c r="D73" s="6" t="s">
        <v>258</v>
      </c>
      <c r="E73" s="12" t="s">
        <v>85</v>
      </c>
      <c r="F73" s="31"/>
      <c r="G73" s="31"/>
      <c r="H73" s="31"/>
      <c r="I73" s="32"/>
      <c r="J73" s="31"/>
      <c r="K73" s="31"/>
      <c r="L73" s="31"/>
      <c r="M73" s="31"/>
    </row>
    <row r="74" spans="1:13" ht="15.75">
      <c r="A74" s="5">
        <v>59</v>
      </c>
      <c r="B74" s="6" t="s">
        <v>296</v>
      </c>
      <c r="C74" s="12" t="s">
        <v>297</v>
      </c>
      <c r="D74" s="6" t="s">
        <v>298</v>
      </c>
      <c r="E74" s="12" t="s">
        <v>16</v>
      </c>
      <c r="F74" s="31"/>
      <c r="G74" s="31"/>
      <c r="H74" s="31"/>
      <c r="I74" s="32"/>
      <c r="J74" s="31"/>
      <c r="K74" s="31"/>
      <c r="L74" s="31"/>
      <c r="M74" s="31"/>
    </row>
    <row r="75" spans="1:13" ht="15.75">
      <c r="A75" s="5">
        <v>60</v>
      </c>
      <c r="B75" s="6" t="s">
        <v>302</v>
      </c>
      <c r="C75" s="6" t="s">
        <v>303</v>
      </c>
      <c r="D75" s="14" t="s">
        <v>298</v>
      </c>
      <c r="E75" s="12" t="s">
        <v>31</v>
      </c>
      <c r="F75" s="31"/>
      <c r="G75" s="31"/>
      <c r="H75" s="31"/>
      <c r="I75" s="32"/>
      <c r="J75" s="31"/>
      <c r="K75" s="31"/>
      <c r="L75" s="31"/>
      <c r="M75" s="31"/>
    </row>
    <row r="76" spans="1:13" ht="15.75">
      <c r="A76" s="5">
        <v>61</v>
      </c>
      <c r="B76" s="6" t="s">
        <v>307</v>
      </c>
      <c r="C76" s="6" t="s">
        <v>308</v>
      </c>
      <c r="D76" s="6" t="s">
        <v>298</v>
      </c>
      <c r="E76" s="12" t="s">
        <v>31</v>
      </c>
      <c r="F76" s="31"/>
      <c r="G76" s="31"/>
      <c r="H76" s="31"/>
      <c r="I76" s="32"/>
      <c r="J76" s="31"/>
      <c r="K76" s="31"/>
      <c r="L76" s="31"/>
      <c r="M76" s="31"/>
    </row>
    <row r="77" spans="1:13" ht="15.75">
      <c r="A77" s="5">
        <v>62</v>
      </c>
      <c r="B77" s="6" t="s">
        <v>315</v>
      </c>
      <c r="C77" s="6" t="s">
        <v>316</v>
      </c>
      <c r="D77" s="6" t="s">
        <v>298</v>
      </c>
      <c r="E77" s="12" t="s">
        <v>53</v>
      </c>
      <c r="F77" s="31"/>
      <c r="G77" s="31"/>
      <c r="H77" s="31"/>
      <c r="I77" s="32"/>
      <c r="J77" s="31"/>
      <c r="K77" s="31"/>
      <c r="L77" s="31"/>
      <c r="M77" s="31"/>
    </row>
    <row r="78" spans="1:13" ht="15.75">
      <c r="A78" s="5">
        <v>63</v>
      </c>
      <c r="B78" s="6" t="s">
        <v>318</v>
      </c>
      <c r="C78" s="6" t="s">
        <v>319</v>
      </c>
      <c r="D78" s="6" t="s">
        <v>298</v>
      </c>
      <c r="E78" s="12" t="s">
        <v>53</v>
      </c>
      <c r="F78" s="31"/>
      <c r="G78" s="31"/>
      <c r="H78" s="31"/>
      <c r="I78" s="32"/>
      <c r="J78" s="31"/>
      <c r="K78" s="31"/>
      <c r="L78" s="31"/>
      <c r="M78" s="31"/>
    </row>
    <row r="79" spans="1:13" ht="15.75">
      <c r="A79" s="5">
        <v>64</v>
      </c>
      <c r="B79" s="6" t="s">
        <v>310</v>
      </c>
      <c r="C79" s="6" t="s">
        <v>311</v>
      </c>
      <c r="D79" s="6" t="s">
        <v>298</v>
      </c>
      <c r="E79" s="12" t="s">
        <v>53</v>
      </c>
      <c r="F79" s="31"/>
      <c r="G79" s="31"/>
      <c r="H79" s="31"/>
      <c r="I79" s="32"/>
      <c r="J79" s="31"/>
      <c r="K79" s="31"/>
      <c r="L79" s="31"/>
      <c r="M79" s="31"/>
    </row>
    <row r="80" spans="1:13" ht="15.75">
      <c r="A80" s="5">
        <v>65</v>
      </c>
      <c r="B80" s="6" t="s">
        <v>325</v>
      </c>
      <c r="C80" s="6" t="s">
        <v>326</v>
      </c>
      <c r="D80" s="6" t="s">
        <v>298</v>
      </c>
      <c r="E80" s="12" t="s">
        <v>53</v>
      </c>
      <c r="F80" s="31"/>
      <c r="G80" s="31"/>
      <c r="H80" s="31"/>
      <c r="I80" s="32"/>
      <c r="J80" s="31"/>
      <c r="K80" s="31"/>
      <c r="L80" s="31"/>
      <c r="M80" s="31"/>
    </row>
    <row r="81" spans="1:13" ht="15.75">
      <c r="A81" s="5">
        <v>66</v>
      </c>
      <c r="B81" s="6" t="s">
        <v>331</v>
      </c>
      <c r="C81" s="6" t="s">
        <v>332</v>
      </c>
      <c r="D81" s="6" t="s">
        <v>298</v>
      </c>
      <c r="E81" s="12" t="s">
        <v>53</v>
      </c>
      <c r="F81" s="31"/>
      <c r="G81" s="31"/>
      <c r="H81" s="31"/>
      <c r="I81" s="32"/>
      <c r="J81" s="31"/>
      <c r="K81" s="31"/>
      <c r="L81" s="31"/>
      <c r="M81" s="31"/>
    </row>
    <row r="82" spans="1:13" ht="15.75">
      <c r="A82" s="5">
        <v>67</v>
      </c>
      <c r="B82" s="6" t="s">
        <v>397</v>
      </c>
      <c r="C82" s="6" t="s">
        <v>398</v>
      </c>
      <c r="D82" s="6" t="s">
        <v>298</v>
      </c>
      <c r="E82" s="12" t="s">
        <v>53</v>
      </c>
      <c r="F82" s="31"/>
      <c r="G82" s="31"/>
      <c r="H82" s="31"/>
      <c r="I82" s="32"/>
      <c r="J82" s="31"/>
      <c r="K82" s="31"/>
      <c r="L82" s="31"/>
      <c r="M82" s="31"/>
    </row>
    <row r="83" spans="1:13" ht="15.75">
      <c r="A83" s="5">
        <v>68</v>
      </c>
      <c r="B83" s="6" t="s">
        <v>339</v>
      </c>
      <c r="C83" s="6" t="s">
        <v>340</v>
      </c>
      <c r="D83" s="6" t="s">
        <v>298</v>
      </c>
      <c r="E83" s="12" t="s">
        <v>63</v>
      </c>
      <c r="F83" s="31"/>
      <c r="G83" s="31"/>
      <c r="H83" s="31"/>
      <c r="I83" s="32"/>
      <c r="J83" s="31"/>
      <c r="K83" s="31"/>
      <c r="L83" s="31"/>
      <c r="M83" s="31"/>
    </row>
    <row r="84" spans="1:13" ht="15.75">
      <c r="A84" s="5">
        <v>69</v>
      </c>
      <c r="B84" s="6" t="s">
        <v>343</v>
      </c>
      <c r="C84" s="6" t="s">
        <v>344</v>
      </c>
      <c r="D84" s="6" t="s">
        <v>298</v>
      </c>
      <c r="E84" s="12" t="s">
        <v>63</v>
      </c>
      <c r="F84" s="31"/>
      <c r="G84" s="31"/>
      <c r="H84" s="31"/>
      <c r="I84" s="32"/>
      <c r="J84" s="31"/>
      <c r="K84" s="31"/>
      <c r="L84" s="31"/>
      <c r="M84" s="31"/>
    </row>
    <row r="85" spans="1:13" ht="15.75">
      <c r="A85" s="5">
        <v>70</v>
      </c>
      <c r="B85" s="6" t="s">
        <v>347</v>
      </c>
      <c r="C85" s="6" t="s">
        <v>348</v>
      </c>
      <c r="D85" s="6" t="s">
        <v>298</v>
      </c>
      <c r="E85" s="12" t="s">
        <v>63</v>
      </c>
      <c r="F85" s="31"/>
      <c r="G85" s="31"/>
      <c r="H85" s="31"/>
      <c r="I85" s="32"/>
      <c r="J85" s="31"/>
      <c r="K85" s="31"/>
      <c r="L85" s="31"/>
      <c r="M85" s="31"/>
    </row>
    <row r="86" spans="1:13" ht="15.75">
      <c r="A86" s="5">
        <v>71</v>
      </c>
      <c r="B86" s="6" t="s">
        <v>334</v>
      </c>
      <c r="C86" s="6" t="s">
        <v>335</v>
      </c>
      <c r="D86" s="6" t="s">
        <v>298</v>
      </c>
      <c r="E86" s="12" t="s">
        <v>63</v>
      </c>
      <c r="F86" s="31"/>
      <c r="G86" s="31"/>
      <c r="H86" s="31"/>
      <c r="I86" s="32"/>
      <c r="J86" s="31"/>
      <c r="K86" s="31"/>
      <c r="L86" s="31"/>
      <c r="M86" s="31"/>
    </row>
    <row r="87" spans="1:13" ht="15.75">
      <c r="A87" s="5">
        <v>72</v>
      </c>
      <c r="B87" s="6" t="s">
        <v>306</v>
      </c>
      <c r="C87" s="6" t="s">
        <v>357</v>
      </c>
      <c r="D87" s="6" t="s">
        <v>298</v>
      </c>
      <c r="E87" s="12" t="s">
        <v>85</v>
      </c>
      <c r="F87" s="31"/>
      <c r="G87" s="31"/>
      <c r="H87" s="31"/>
      <c r="I87" s="32"/>
      <c r="J87" s="31"/>
      <c r="K87" s="31"/>
      <c r="L87" s="31"/>
      <c r="M87" s="31"/>
    </row>
    <row r="88" spans="1:13" ht="15.75">
      <c r="A88" s="5">
        <v>73</v>
      </c>
      <c r="B88" s="6" t="s">
        <v>351</v>
      </c>
      <c r="C88" s="6" t="s">
        <v>352</v>
      </c>
      <c r="D88" s="6" t="s">
        <v>298</v>
      </c>
      <c r="E88" s="12" t="s">
        <v>85</v>
      </c>
      <c r="F88" s="31"/>
      <c r="G88" s="31"/>
      <c r="H88" s="31"/>
      <c r="I88" s="32"/>
      <c r="J88" s="31"/>
      <c r="K88" s="31"/>
      <c r="L88" s="31"/>
      <c r="M88" s="31"/>
    </row>
    <row r="89" spans="1:13" ht="15.75">
      <c r="A89" s="5">
        <v>74</v>
      </c>
      <c r="B89" s="6" t="s">
        <v>365</v>
      </c>
      <c r="C89" s="6" t="s">
        <v>366</v>
      </c>
      <c r="D89" s="6" t="s">
        <v>298</v>
      </c>
      <c r="E89" s="12" t="s">
        <v>367</v>
      </c>
      <c r="F89" s="31"/>
      <c r="G89" s="31"/>
      <c r="H89" s="31"/>
      <c r="I89" s="32"/>
      <c r="J89" s="31"/>
      <c r="K89" s="31"/>
      <c r="L89" s="31"/>
      <c r="M89" s="31"/>
    </row>
    <row r="90" spans="1:13" ht="15.75">
      <c r="A90" s="5">
        <v>75</v>
      </c>
      <c r="B90" s="6" t="s">
        <v>373</v>
      </c>
      <c r="C90" s="6" t="s">
        <v>374</v>
      </c>
      <c r="D90" s="6" t="s">
        <v>375</v>
      </c>
      <c r="E90" s="12" t="s">
        <v>376</v>
      </c>
      <c r="F90" s="31"/>
      <c r="G90" s="31"/>
      <c r="H90" s="31"/>
      <c r="I90" s="32"/>
      <c r="J90" s="31"/>
      <c r="K90" s="31"/>
      <c r="L90" s="31"/>
      <c r="M90" s="31"/>
    </row>
    <row r="91" spans="1:13" ht="15.75">
      <c r="A91" s="5">
        <v>76</v>
      </c>
      <c r="B91" s="6" t="s">
        <v>377</v>
      </c>
      <c r="C91" s="6" t="s">
        <v>378</v>
      </c>
      <c r="D91" s="6" t="s">
        <v>375</v>
      </c>
      <c r="E91" s="12" t="s">
        <v>379</v>
      </c>
      <c r="F91" s="31"/>
      <c r="G91" s="31"/>
      <c r="H91" s="31"/>
      <c r="I91" s="32"/>
      <c r="J91" s="31"/>
      <c r="K91" s="31"/>
      <c r="L91" s="31"/>
      <c r="M91" s="31"/>
    </row>
    <row r="92" spans="1:13" ht="15.75">
      <c r="A92" s="5">
        <v>77</v>
      </c>
      <c r="B92" s="6" t="s">
        <v>380</v>
      </c>
      <c r="C92" s="6" t="s">
        <v>381</v>
      </c>
      <c r="D92" s="6" t="s">
        <v>375</v>
      </c>
      <c r="E92" s="12" t="s">
        <v>382</v>
      </c>
      <c r="F92" s="31"/>
      <c r="G92" s="31"/>
      <c r="H92" s="31"/>
      <c r="I92" s="32"/>
      <c r="J92" s="31"/>
      <c r="K92" s="31"/>
      <c r="L92" s="31"/>
      <c r="M92" s="31"/>
    </row>
    <row r="93" spans="1:13" ht="15.75">
      <c r="A93" s="5">
        <v>78</v>
      </c>
      <c r="B93" s="6" t="s">
        <v>383</v>
      </c>
      <c r="C93" s="6" t="s">
        <v>384</v>
      </c>
      <c r="D93" s="6" t="s">
        <v>375</v>
      </c>
      <c r="E93" s="12" t="s">
        <v>367</v>
      </c>
      <c r="F93" s="31"/>
      <c r="G93" s="31"/>
      <c r="H93" s="31"/>
      <c r="I93" s="32"/>
      <c r="J93" s="31"/>
    </row>
    <row r="94" spans="1:13" ht="15.75">
      <c r="A94" s="5">
        <v>79</v>
      </c>
      <c r="B94" s="6" t="s">
        <v>385</v>
      </c>
      <c r="C94" s="6" t="s">
        <v>386</v>
      </c>
      <c r="D94" s="6" t="s">
        <v>375</v>
      </c>
      <c r="E94" s="12" t="s">
        <v>387</v>
      </c>
      <c r="F94" s="31"/>
      <c r="G94" s="31"/>
      <c r="H94" s="31"/>
      <c r="I94" s="32"/>
      <c r="J94" s="31"/>
    </row>
    <row r="95" spans="1:13" ht="15.75"/>
    <row r="96" spans="1:13" ht="15.75"/>
    <row r="97" ht="15.75"/>
    <row r="98" ht="15.75"/>
    <row r="99" ht="15.75"/>
  </sheetData>
  <conditionalFormatting sqref="I2:I94">
    <cfRule type="containsErrors" dxfId="1" priority="1" stopIfTrue="1">
      <formula>ISERROR(I2)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77E1E2-BFA2-433F-A780-B2A48F9881CB}">
          <x14:formula1>
            <xm:f>Data!$B$147</xm:f>
          </x14:formula1>
          <xm:sqref>F2:F6 F11:F17 F19:F30 F35:F94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DB26-9AFD-4A6D-B0D5-B0482A352C52}">
  <dimension ref="A1:K87"/>
  <sheetViews>
    <sheetView workbookViewId="0">
      <selection activeCell="M16" sqref="M16"/>
    </sheetView>
  </sheetViews>
  <sheetFormatPr defaultColWidth="11" defaultRowHeight="15.95"/>
  <cols>
    <col min="1" max="1" width="6.125" customWidth="1"/>
    <col min="2" max="2" width="21.625" customWidth="1"/>
    <col min="3" max="3" width="30.5" bestFit="1" customWidth="1"/>
    <col min="4" max="4" width="9"/>
    <col min="5" max="5" width="12.5" customWidth="1"/>
    <col min="6" max="6" width="9"/>
    <col min="7" max="7" width="29" customWidth="1"/>
    <col min="8" max="8" width="9"/>
    <col min="9" max="9" width="21.125" bestFit="1" customWidth="1"/>
  </cols>
  <sheetData>
    <row r="1" spans="1:11" s="16" customFormat="1" ht="37.5">
      <c r="A1" s="27" t="s">
        <v>0</v>
      </c>
      <c r="B1" s="29" t="s">
        <v>3</v>
      </c>
      <c r="C1" s="28" t="s">
        <v>5</v>
      </c>
      <c r="D1" s="28" t="s">
        <v>6</v>
      </c>
      <c r="E1" s="28" t="s">
        <v>409</v>
      </c>
      <c r="F1" s="28" t="s">
        <v>8</v>
      </c>
      <c r="G1" s="28" t="s">
        <v>9</v>
      </c>
      <c r="H1" s="28" t="s">
        <v>10</v>
      </c>
      <c r="I1" s="28" t="s">
        <v>11</v>
      </c>
      <c r="J1" s="28" t="s">
        <v>12</v>
      </c>
      <c r="K1" s="30"/>
    </row>
    <row r="2" spans="1:11">
      <c r="A2" s="5">
        <v>1</v>
      </c>
      <c r="B2" s="6" t="s">
        <v>15</v>
      </c>
      <c r="C2" s="31" t="s">
        <v>510</v>
      </c>
      <c r="D2" s="32" t="str">
        <f>VLOOKUP(C2,Data!B:C,2,FALSE)</f>
        <v>HP</v>
      </c>
      <c r="E2" s="31"/>
      <c r="F2" s="32"/>
      <c r="G2" s="31"/>
      <c r="H2" s="31"/>
      <c r="I2" s="31"/>
      <c r="J2" s="31" t="s">
        <v>119</v>
      </c>
    </row>
    <row r="3" spans="1:11">
      <c r="A3" s="5">
        <v>2</v>
      </c>
      <c r="B3" s="6" t="s">
        <v>15</v>
      </c>
      <c r="C3" s="31" t="s">
        <v>511</v>
      </c>
      <c r="D3" s="32" t="str">
        <f>VLOOKUP(C3,Data!B:C,2,FALSE)</f>
        <v>HP</v>
      </c>
      <c r="E3" s="31"/>
      <c r="F3" s="32"/>
      <c r="G3" s="33"/>
      <c r="H3" s="31"/>
      <c r="I3" s="31"/>
      <c r="J3" s="31"/>
    </row>
    <row r="4" spans="1:11">
      <c r="A4" s="5">
        <v>3</v>
      </c>
      <c r="B4" s="6" t="s">
        <v>15</v>
      </c>
      <c r="C4" s="31" t="s">
        <v>512</v>
      </c>
      <c r="D4" s="32" t="str">
        <f>VLOOKUP(C4,Data!B:C,2,FALSE)</f>
        <v>KYOCERA</v>
      </c>
      <c r="E4" s="31"/>
      <c r="F4" s="32"/>
      <c r="G4" s="33"/>
      <c r="H4" s="31"/>
      <c r="I4" s="31"/>
      <c r="J4" s="31"/>
    </row>
    <row r="5" spans="1:11">
      <c r="A5" s="5">
        <v>4</v>
      </c>
      <c r="B5" s="6" t="s">
        <v>160</v>
      </c>
      <c r="C5" s="31" t="s">
        <v>513</v>
      </c>
      <c r="D5" s="32" t="str">
        <f>VLOOKUP(C5,Data!B:C,2,FALSE)</f>
        <v>HP</v>
      </c>
      <c r="E5" s="31"/>
      <c r="F5" s="32"/>
      <c r="G5" s="31"/>
      <c r="H5" s="31"/>
      <c r="I5" s="31"/>
      <c r="J5" s="31"/>
    </row>
    <row r="6" spans="1:11">
      <c r="A6" s="5">
        <v>5</v>
      </c>
      <c r="B6" s="6" t="s">
        <v>160</v>
      </c>
      <c r="C6" s="31" t="s">
        <v>510</v>
      </c>
      <c r="D6" s="32" t="str">
        <f>VLOOKUP(C6,Data!B:C,2,FALSE)</f>
        <v>HP</v>
      </c>
      <c r="E6" s="31"/>
      <c r="F6" s="32"/>
      <c r="G6" s="33"/>
      <c r="H6" s="31"/>
      <c r="I6" s="31"/>
      <c r="J6" s="31"/>
    </row>
    <row r="7" spans="1:11">
      <c r="A7" s="5">
        <v>6</v>
      </c>
      <c r="B7" s="6" t="s">
        <v>160</v>
      </c>
      <c r="C7" s="31" t="s">
        <v>510</v>
      </c>
      <c r="D7" s="32" t="str">
        <f>VLOOKUP(C7,Data!B:C,2,FALSE)</f>
        <v>HP</v>
      </c>
      <c r="E7" s="31"/>
      <c r="F7" s="32"/>
      <c r="G7" s="31"/>
      <c r="H7" s="31"/>
      <c r="I7" s="31"/>
      <c r="J7" s="31"/>
    </row>
    <row r="8" spans="1:11">
      <c r="A8" s="5">
        <v>7</v>
      </c>
      <c r="B8" s="6" t="s">
        <v>160</v>
      </c>
      <c r="C8" s="31" t="s">
        <v>512</v>
      </c>
      <c r="D8" s="32" t="str">
        <f>VLOOKUP(C8,Data!B:C,2,FALSE)</f>
        <v>KYOCERA</v>
      </c>
      <c r="E8" s="31"/>
      <c r="F8" s="32"/>
      <c r="G8" s="33"/>
      <c r="H8" s="31"/>
      <c r="I8" s="31"/>
      <c r="J8" s="31"/>
    </row>
    <row r="9" spans="1:11">
      <c r="A9" s="5">
        <v>8</v>
      </c>
      <c r="B9" s="6" t="s">
        <v>160</v>
      </c>
      <c r="C9" s="31" t="s">
        <v>514</v>
      </c>
      <c r="D9" s="32" t="str">
        <f>VLOOKUP(C9,Data!B:C,2,FALSE)</f>
        <v>EPSON</v>
      </c>
      <c r="E9" s="31"/>
      <c r="F9" s="32"/>
      <c r="G9" s="31"/>
      <c r="H9" s="31"/>
      <c r="I9" s="31"/>
      <c r="J9" s="31"/>
    </row>
    <row r="10" spans="1:11">
      <c r="A10" s="5">
        <v>9</v>
      </c>
      <c r="B10" s="6" t="s">
        <v>99</v>
      </c>
      <c r="C10" s="31" t="s">
        <v>515</v>
      </c>
      <c r="D10" s="32" t="str">
        <f>VLOOKUP(C10,Data!B:C,2,FALSE)</f>
        <v>KYOCERA</v>
      </c>
      <c r="E10" s="31"/>
      <c r="F10" s="32"/>
      <c r="G10" s="31"/>
      <c r="H10" s="31"/>
      <c r="I10" s="31"/>
      <c r="J10" s="31"/>
    </row>
    <row r="11" spans="1:11">
      <c r="A11" s="5">
        <v>10</v>
      </c>
      <c r="B11" s="6" t="s">
        <v>298</v>
      </c>
      <c r="C11" s="31" t="s">
        <v>516</v>
      </c>
      <c r="D11" s="32" t="str">
        <f>VLOOKUP(C11,Data!B:C,2,FALSE)</f>
        <v>EPSON</v>
      </c>
      <c r="E11" s="31"/>
      <c r="F11" s="32"/>
      <c r="G11" s="33"/>
      <c r="H11" s="31"/>
      <c r="I11" s="31"/>
      <c r="J11" s="31"/>
    </row>
    <row r="12" spans="1:11">
      <c r="A12" s="5">
        <v>11</v>
      </c>
      <c r="B12" s="6" t="s">
        <v>298</v>
      </c>
      <c r="C12" s="31" t="s">
        <v>517</v>
      </c>
      <c r="D12" s="32" t="str">
        <f>VLOOKUP(C12,Data!B:C,2,FALSE)</f>
        <v>BROTHER</v>
      </c>
      <c r="E12" s="31"/>
      <c r="F12" s="32"/>
      <c r="G12" s="31"/>
      <c r="H12" s="31"/>
      <c r="I12" s="31"/>
      <c r="J12" s="31"/>
    </row>
    <row r="13" spans="1:11">
      <c r="A13" s="5">
        <v>12</v>
      </c>
      <c r="B13" s="6" t="s">
        <v>258</v>
      </c>
      <c r="C13" s="31" t="s">
        <v>516</v>
      </c>
      <c r="D13" s="32" t="str">
        <f>VLOOKUP(C13,Data!B:C,2,FALSE)</f>
        <v>EPSON</v>
      </c>
      <c r="E13" s="31"/>
      <c r="F13" s="32"/>
      <c r="G13" s="31"/>
      <c r="H13" s="31"/>
      <c r="I13" s="31"/>
      <c r="J13" s="31"/>
    </row>
    <row r="14" spans="1:11">
      <c r="A14" s="5">
        <v>13</v>
      </c>
      <c r="B14" s="6" t="s">
        <v>258</v>
      </c>
      <c r="C14" s="31" t="s">
        <v>518</v>
      </c>
      <c r="D14" s="32" t="str">
        <f>VLOOKUP(C14,Data!B:C,2,FALSE)</f>
        <v>BROTHER</v>
      </c>
      <c r="E14" s="31"/>
      <c r="F14" s="32"/>
      <c r="G14" s="31"/>
      <c r="H14" s="31"/>
      <c r="I14" s="31"/>
      <c r="J14" s="31"/>
    </row>
    <row r="15" spans="1:11">
      <c r="A15" s="5">
        <v>14</v>
      </c>
      <c r="B15" s="6" t="s">
        <v>229</v>
      </c>
      <c r="C15" s="31" t="s">
        <v>519</v>
      </c>
      <c r="D15" s="32" t="str">
        <f>VLOOKUP(C15,Data!B:C,2,FALSE)</f>
        <v>BROTHER</v>
      </c>
      <c r="E15" s="31"/>
      <c r="F15" s="32"/>
      <c r="G15" s="33"/>
      <c r="H15" s="31"/>
      <c r="I15" s="31"/>
      <c r="J15" s="31"/>
    </row>
    <row r="16" spans="1:11">
      <c r="A16" s="5">
        <v>15</v>
      </c>
      <c r="B16" s="6" t="s">
        <v>229</v>
      </c>
      <c r="C16" s="31" t="s">
        <v>512</v>
      </c>
      <c r="D16" s="32" t="str">
        <f>VLOOKUP(C16,Data!B:C,2,FALSE)</f>
        <v>KYOCERA</v>
      </c>
      <c r="E16" s="31"/>
      <c r="F16" s="32"/>
      <c r="G16" s="31"/>
      <c r="H16" s="31"/>
      <c r="I16" s="31"/>
      <c r="J16" s="31"/>
    </row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  <row r="36" ht="15.75"/>
    <row r="37" ht="15.75"/>
    <row r="38" ht="15.75"/>
    <row r="39" ht="15.75"/>
    <row r="40" ht="15.75"/>
    <row r="41" ht="15.75"/>
    <row r="42" ht="15.75"/>
    <row r="43" ht="15.75"/>
    <row r="44" ht="15.75"/>
    <row r="45" ht="15.75"/>
    <row r="46" ht="15.75"/>
    <row r="47" ht="15.75"/>
    <row r="48" ht="15.75"/>
    <row r="49" ht="15.75"/>
    <row r="50" ht="15.75"/>
    <row r="51" ht="15.75"/>
    <row r="52" ht="15.75"/>
    <row r="53" ht="15.75"/>
    <row r="54" ht="15.75"/>
    <row r="55" ht="15.75"/>
    <row r="56" ht="15.75"/>
    <row r="57" ht="15.75"/>
    <row r="58" ht="15.75"/>
    <row r="59" ht="15.75"/>
    <row r="60" ht="15.75"/>
    <row r="61" ht="15.75"/>
    <row r="62" ht="15.75"/>
    <row r="63" ht="15.75"/>
    <row r="64" ht="15.75"/>
    <row r="65" ht="15.75"/>
    <row r="66" ht="15.75"/>
    <row r="67" ht="15.75"/>
    <row r="68" ht="15.75"/>
    <row r="69" ht="15.75"/>
    <row r="70" ht="15.75"/>
    <row r="71" ht="15.75"/>
    <row r="72" ht="15.75"/>
    <row r="73" ht="15.75"/>
    <row r="74" ht="15.75"/>
    <row r="75" ht="15.75"/>
    <row r="76" ht="15.75"/>
    <row r="77" ht="15.75"/>
    <row r="78" ht="15.75"/>
    <row r="79" ht="15.75"/>
    <row r="80" ht="15.75"/>
    <row r="81" ht="15.75"/>
    <row r="82" ht="15.75"/>
    <row r="83" ht="15.75"/>
    <row r="84" ht="15.75"/>
    <row r="85" ht="15.75"/>
    <row r="86" ht="15.75"/>
    <row r="87" ht="15.75"/>
  </sheetData>
  <conditionalFormatting sqref="F2:F16">
    <cfRule type="containsErrors" dxfId="0" priority="1" stopIfTrue="1">
      <formula>ISERROR(F2)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9901AB-8BD8-4D9B-B8F6-6BC7F36965B6}">
          <x14:formula1>
            <xm:f>Data!$F$152:$F$154</xm:f>
          </x14:formula1>
          <xm:sqref>J2:J4</xm:sqref>
        </x14:dataValidation>
        <x14:dataValidation type="list" allowBlank="1" showInputMessage="1" showErrorMessage="1" xr:uid="{13617522-8B83-460E-83B1-58C5001CE7A8}">
          <x14:formula1>
            <xm:f>Data!$B$152:$B$161</xm:f>
          </x14:formula1>
          <xm:sqref>C2:C16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10DC-F5D2-4C32-A1E6-92609EAA45AE}">
  <dimension ref="B1:AJ31"/>
  <sheetViews>
    <sheetView workbookViewId="0">
      <selection activeCell="L16" sqref="L16:M16"/>
    </sheetView>
  </sheetViews>
  <sheetFormatPr defaultColWidth="8.875" defaultRowHeight="15.75" customHeight="1"/>
  <cols>
    <col min="2" max="2" width="9.625" bestFit="1" customWidth="1"/>
    <col min="3" max="3" width="15.625" bestFit="1" customWidth="1"/>
    <col min="4" max="4" width="13.625" bestFit="1" customWidth="1"/>
    <col min="5" max="5" width="15.875" bestFit="1" customWidth="1"/>
    <col min="6" max="6" width="6" customWidth="1"/>
    <col min="8" max="8" width="9.625" bestFit="1" customWidth="1"/>
    <col min="9" max="9" width="15.625" bestFit="1" customWidth="1"/>
    <col min="12" max="12" width="9.625" bestFit="1" customWidth="1"/>
    <col min="13" max="13" width="7.875" bestFit="1" customWidth="1"/>
    <col min="14" max="14" width="11.5" bestFit="1" customWidth="1"/>
    <col min="15" max="15" width="13" bestFit="1" customWidth="1"/>
    <col min="16" max="16" width="7.875" bestFit="1" customWidth="1"/>
    <col min="17" max="17" width="10.5" bestFit="1" customWidth="1"/>
    <col min="18" max="18" width="13" bestFit="1" customWidth="1"/>
    <col min="19" max="19" width="7.875" bestFit="1" customWidth="1"/>
    <col min="20" max="20" width="11.5" customWidth="1"/>
    <col min="21" max="21" width="13" bestFit="1" customWidth="1"/>
    <col min="22" max="22" width="7.875" bestFit="1" customWidth="1"/>
    <col min="23" max="23" width="10.5" bestFit="1" customWidth="1"/>
    <col min="24" max="24" width="11.5" bestFit="1" customWidth="1"/>
    <col min="25" max="25" width="7.875" bestFit="1" customWidth="1"/>
    <col min="26" max="26" width="11.5" bestFit="1" customWidth="1"/>
    <col min="27" max="27" width="13" bestFit="1" customWidth="1"/>
    <col min="28" max="28" width="7.875" bestFit="1" customWidth="1"/>
    <col min="29" max="29" width="10.5" bestFit="1" customWidth="1"/>
    <col min="30" max="30" width="13" bestFit="1" customWidth="1"/>
    <col min="31" max="31" width="7.875" bestFit="1" customWidth="1"/>
    <col min="32" max="32" width="10.5" bestFit="1" customWidth="1"/>
    <col min="33" max="33" width="11.5" bestFit="1" customWidth="1"/>
    <col min="34" max="34" width="7.875" bestFit="1" customWidth="1"/>
    <col min="35" max="35" width="10.5" bestFit="1" customWidth="1"/>
    <col min="36" max="36" width="11.5" bestFit="1" customWidth="1"/>
  </cols>
  <sheetData>
    <row r="1" spans="2:36" ht="15.75" customHeight="1" thickBot="1"/>
    <row r="2" spans="2:36" ht="16.5" thickBot="1">
      <c r="L2" s="154" t="s">
        <v>520</v>
      </c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6"/>
    </row>
    <row r="3" spans="2:36" ht="15.95" customHeight="1" thickBot="1">
      <c r="B3" s="146" t="s">
        <v>521</v>
      </c>
      <c r="C3" s="147"/>
      <c r="D3" s="147"/>
      <c r="E3" s="147"/>
      <c r="F3" s="148"/>
      <c r="H3" s="146" t="s">
        <v>521</v>
      </c>
      <c r="I3" s="148"/>
      <c r="L3" s="152" t="s">
        <v>522</v>
      </c>
      <c r="M3" s="150" t="s">
        <v>523</v>
      </c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7"/>
      <c r="Y3" s="151" t="s">
        <v>524</v>
      </c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7"/>
    </row>
    <row r="4" spans="2:36" ht="16.5" thickBot="1">
      <c r="B4" s="146" t="s">
        <v>525</v>
      </c>
      <c r="C4" s="147"/>
      <c r="D4" s="147"/>
      <c r="E4" s="147"/>
      <c r="F4" s="148"/>
      <c r="H4" s="146" t="s">
        <v>525</v>
      </c>
      <c r="I4" s="148"/>
      <c r="L4" s="153"/>
      <c r="M4" s="150" t="s">
        <v>525</v>
      </c>
      <c r="N4" s="151"/>
      <c r="O4" s="151"/>
      <c r="P4" s="150" t="s">
        <v>526</v>
      </c>
      <c r="Q4" s="151"/>
      <c r="R4" s="151"/>
      <c r="S4" s="150" t="s">
        <v>527</v>
      </c>
      <c r="T4" s="151"/>
      <c r="U4" s="151"/>
      <c r="V4" s="150" t="s">
        <v>528</v>
      </c>
      <c r="W4" s="151"/>
      <c r="X4" s="151"/>
      <c r="Y4" s="150" t="s">
        <v>525</v>
      </c>
      <c r="Z4" s="151"/>
      <c r="AA4" s="151"/>
      <c r="AB4" s="150" t="s">
        <v>526</v>
      </c>
      <c r="AC4" s="151"/>
      <c r="AD4" s="151"/>
      <c r="AE4" s="150" t="s">
        <v>528</v>
      </c>
      <c r="AF4" s="151"/>
      <c r="AG4" s="151"/>
      <c r="AH4" s="150" t="s">
        <v>529</v>
      </c>
      <c r="AI4" s="151"/>
      <c r="AJ4" s="157"/>
    </row>
    <row r="5" spans="2:36" ht="16.5" thickBot="1">
      <c r="B5" s="47" t="s">
        <v>530</v>
      </c>
      <c r="C5" s="47" t="s">
        <v>531</v>
      </c>
      <c r="D5" s="47" t="s">
        <v>532</v>
      </c>
      <c r="E5" s="47" t="s">
        <v>533</v>
      </c>
      <c r="F5" s="46" t="s">
        <v>534</v>
      </c>
      <c r="H5" s="47" t="s">
        <v>530</v>
      </c>
      <c r="I5" s="79" t="s">
        <v>535</v>
      </c>
      <c r="L5" s="153"/>
      <c r="M5" s="79" t="s">
        <v>536</v>
      </c>
      <c r="N5" s="72" t="s">
        <v>537</v>
      </c>
      <c r="O5" s="72" t="s">
        <v>538</v>
      </c>
      <c r="P5" s="72" t="s">
        <v>536</v>
      </c>
      <c r="Q5" s="72" t="s">
        <v>537</v>
      </c>
      <c r="R5" s="72" t="s">
        <v>538</v>
      </c>
      <c r="S5" s="72" t="s">
        <v>536</v>
      </c>
      <c r="T5" s="72" t="s">
        <v>537</v>
      </c>
      <c r="U5" s="72" t="s">
        <v>538</v>
      </c>
      <c r="V5" s="72" t="s">
        <v>536</v>
      </c>
      <c r="W5" s="72" t="s">
        <v>537</v>
      </c>
      <c r="X5" s="72" t="s">
        <v>538</v>
      </c>
      <c r="Y5" s="72" t="s">
        <v>536</v>
      </c>
      <c r="Z5" s="72" t="s">
        <v>537</v>
      </c>
      <c r="AA5" s="72" t="s">
        <v>538</v>
      </c>
      <c r="AB5" s="72" t="s">
        <v>536</v>
      </c>
      <c r="AC5" s="72" t="s">
        <v>537</v>
      </c>
      <c r="AD5" s="72" t="s">
        <v>538</v>
      </c>
      <c r="AE5" s="72" t="s">
        <v>536</v>
      </c>
      <c r="AF5" s="72" t="s">
        <v>537</v>
      </c>
      <c r="AG5" s="72" t="s">
        <v>538</v>
      </c>
      <c r="AH5" s="72" t="s">
        <v>536</v>
      </c>
      <c r="AI5" s="72" t="s">
        <v>537</v>
      </c>
      <c r="AJ5" s="72" t="s">
        <v>538</v>
      </c>
    </row>
    <row r="6" spans="2:36" ht="16.5" thickBot="1">
      <c r="B6" s="45" t="s">
        <v>15</v>
      </c>
      <c r="C6" s="48">
        <v>12</v>
      </c>
      <c r="D6" s="48">
        <v>8</v>
      </c>
      <c r="E6" s="48">
        <f>D6</f>
        <v>8</v>
      </c>
      <c r="F6" s="49">
        <f>C6+D6</f>
        <v>20</v>
      </c>
      <c r="H6" s="45" t="s">
        <v>15</v>
      </c>
      <c r="I6" s="49">
        <v>20</v>
      </c>
      <c r="L6" s="76" t="s">
        <v>15</v>
      </c>
      <c r="M6" s="69"/>
      <c r="N6" s="60">
        <v>160000</v>
      </c>
      <c r="O6" s="81">
        <f t="shared" ref="O6:O11" si="0">M6*N6</f>
        <v>0</v>
      </c>
      <c r="P6" s="71"/>
      <c r="Q6" s="60">
        <v>90000</v>
      </c>
      <c r="R6" s="80">
        <f t="shared" ref="R6:R11" si="1">P6*Q6</f>
        <v>0</v>
      </c>
      <c r="S6" s="71"/>
      <c r="T6" s="60">
        <v>140000</v>
      </c>
      <c r="U6" s="80">
        <f t="shared" ref="U6:U11" si="2">S6*T6</f>
        <v>0</v>
      </c>
      <c r="V6" s="70"/>
      <c r="W6" s="60">
        <v>60000</v>
      </c>
      <c r="X6" s="80">
        <f t="shared" ref="X6:X11" si="3">V6*W6</f>
        <v>0</v>
      </c>
      <c r="Y6" s="70">
        <v>3</v>
      </c>
      <c r="Z6" s="60">
        <v>160000</v>
      </c>
      <c r="AA6" s="80">
        <f t="shared" ref="AA6:AA11" si="4">Y6*Z6</f>
        <v>480000</v>
      </c>
      <c r="AB6" s="70"/>
      <c r="AC6" s="60">
        <v>90000</v>
      </c>
      <c r="AD6" s="78">
        <f t="shared" ref="AD6:AD11" si="5">AB6*AC6</f>
        <v>0</v>
      </c>
      <c r="AE6" s="70">
        <v>2</v>
      </c>
      <c r="AF6" s="60">
        <v>30000</v>
      </c>
      <c r="AG6" s="80">
        <f t="shared" ref="AG6:AG11" si="6">AE6*AF6</f>
        <v>60000</v>
      </c>
      <c r="AH6" s="70">
        <v>1</v>
      </c>
      <c r="AI6" s="60">
        <v>60000</v>
      </c>
      <c r="AJ6" s="78">
        <f t="shared" ref="AJ6:AJ11" si="7">AH6*AI6</f>
        <v>60000</v>
      </c>
    </row>
    <row r="7" spans="2:36" ht="16.5" thickBot="1">
      <c r="B7" s="43" t="s">
        <v>160</v>
      </c>
      <c r="C7" s="32">
        <v>14</v>
      </c>
      <c r="D7" s="32">
        <v>6</v>
      </c>
      <c r="E7" s="32">
        <v>6</v>
      </c>
      <c r="F7" s="44">
        <f t="shared" ref="F7:F11" si="8">C7+D7</f>
        <v>20</v>
      </c>
      <c r="H7" s="43" t="s">
        <v>160</v>
      </c>
      <c r="I7" s="44">
        <v>20</v>
      </c>
      <c r="L7" s="76" t="s">
        <v>160</v>
      </c>
      <c r="M7" s="58"/>
      <c r="N7" s="59">
        <v>160000</v>
      </c>
      <c r="O7" s="73">
        <f t="shared" si="0"/>
        <v>0</v>
      </c>
      <c r="P7" s="61"/>
      <c r="Q7" s="59">
        <v>90000</v>
      </c>
      <c r="R7" s="65">
        <f t="shared" si="1"/>
        <v>0</v>
      </c>
      <c r="S7" s="67"/>
      <c r="T7" s="59">
        <v>140000</v>
      </c>
      <c r="U7" s="65">
        <f t="shared" si="2"/>
        <v>0</v>
      </c>
      <c r="V7" s="61"/>
      <c r="W7" s="59">
        <v>60000</v>
      </c>
      <c r="X7" s="65">
        <f t="shared" si="3"/>
        <v>0</v>
      </c>
      <c r="Y7" s="61">
        <v>3</v>
      </c>
      <c r="Z7" s="59">
        <v>160000</v>
      </c>
      <c r="AA7" s="65">
        <f t="shared" si="4"/>
        <v>480000</v>
      </c>
      <c r="AB7" s="61"/>
      <c r="AC7" s="59">
        <v>90000</v>
      </c>
      <c r="AD7" s="62">
        <f t="shared" si="5"/>
        <v>0</v>
      </c>
      <c r="AE7" s="61">
        <v>3</v>
      </c>
      <c r="AF7" s="59">
        <v>30000</v>
      </c>
      <c r="AG7" s="65">
        <f t="shared" si="6"/>
        <v>90000</v>
      </c>
      <c r="AH7" s="61">
        <v>2</v>
      </c>
      <c r="AI7" s="59">
        <v>60000</v>
      </c>
      <c r="AJ7" s="62">
        <f t="shared" si="7"/>
        <v>120000</v>
      </c>
    </row>
    <row r="8" spans="2:36" ht="16.5" thickBot="1">
      <c r="B8" s="43" t="s">
        <v>99</v>
      </c>
      <c r="C8" s="32">
        <v>13</v>
      </c>
      <c r="D8" s="32">
        <v>8</v>
      </c>
      <c r="E8" s="32">
        <v>11</v>
      </c>
      <c r="F8" s="44">
        <f t="shared" si="8"/>
        <v>21</v>
      </c>
      <c r="H8" s="43" t="s">
        <v>99</v>
      </c>
      <c r="I8" s="44">
        <v>21</v>
      </c>
      <c r="L8" s="76" t="s">
        <v>99</v>
      </c>
      <c r="M8" s="58"/>
      <c r="N8" s="59">
        <v>160000</v>
      </c>
      <c r="O8" s="73">
        <f t="shared" si="0"/>
        <v>0</v>
      </c>
      <c r="P8" s="61"/>
      <c r="Q8" s="59">
        <v>90000</v>
      </c>
      <c r="R8" s="65">
        <f t="shared" si="1"/>
        <v>0</v>
      </c>
      <c r="S8" s="67"/>
      <c r="T8" s="59">
        <v>140000</v>
      </c>
      <c r="U8" s="65">
        <f t="shared" si="2"/>
        <v>0</v>
      </c>
      <c r="V8" s="61"/>
      <c r="W8" s="59">
        <v>60000</v>
      </c>
      <c r="X8" s="65">
        <f t="shared" si="3"/>
        <v>0</v>
      </c>
      <c r="Y8" s="61">
        <v>3</v>
      </c>
      <c r="Z8" s="59">
        <v>160000</v>
      </c>
      <c r="AA8" s="65">
        <f t="shared" si="4"/>
        <v>480000</v>
      </c>
      <c r="AB8" s="61">
        <v>7</v>
      </c>
      <c r="AC8" s="59">
        <v>90000</v>
      </c>
      <c r="AD8" s="62">
        <f t="shared" si="5"/>
        <v>630000</v>
      </c>
      <c r="AE8" s="61"/>
      <c r="AF8" s="59">
        <v>30000</v>
      </c>
      <c r="AG8" s="65">
        <f t="shared" si="6"/>
        <v>0</v>
      </c>
      <c r="AH8" s="61"/>
      <c r="AI8" s="59">
        <v>60000</v>
      </c>
      <c r="AJ8" s="62">
        <f t="shared" si="7"/>
        <v>0</v>
      </c>
    </row>
    <row r="9" spans="2:36" ht="16.5" thickBot="1">
      <c r="B9" s="43" t="s">
        <v>298</v>
      </c>
      <c r="C9" s="32">
        <v>31</v>
      </c>
      <c r="D9" s="32">
        <v>8</v>
      </c>
      <c r="E9" s="32">
        <v>8</v>
      </c>
      <c r="F9" s="44">
        <f t="shared" si="8"/>
        <v>39</v>
      </c>
      <c r="H9" s="43" t="s">
        <v>298</v>
      </c>
      <c r="I9" s="44">
        <v>39</v>
      </c>
      <c r="L9" s="76" t="s">
        <v>298</v>
      </c>
      <c r="M9" s="58"/>
      <c r="N9" s="59">
        <v>160000</v>
      </c>
      <c r="O9" s="73">
        <f t="shared" si="0"/>
        <v>0</v>
      </c>
      <c r="P9" s="61"/>
      <c r="Q9" s="59">
        <v>90000</v>
      </c>
      <c r="R9" s="65">
        <f t="shared" si="1"/>
        <v>0</v>
      </c>
      <c r="S9" s="67"/>
      <c r="T9" s="59">
        <v>140000</v>
      </c>
      <c r="U9" s="65">
        <f t="shared" si="2"/>
        <v>0</v>
      </c>
      <c r="V9" s="61"/>
      <c r="W9" s="59">
        <v>60000</v>
      </c>
      <c r="X9" s="65">
        <f t="shared" si="3"/>
        <v>0</v>
      </c>
      <c r="Y9" s="61"/>
      <c r="Z9" s="59">
        <v>160000</v>
      </c>
      <c r="AA9" s="65">
        <f t="shared" si="4"/>
        <v>0</v>
      </c>
      <c r="AB9" s="61">
        <v>4</v>
      </c>
      <c r="AC9" s="59">
        <v>90000</v>
      </c>
      <c r="AD9" s="62">
        <f t="shared" si="5"/>
        <v>360000</v>
      </c>
      <c r="AE9" s="61">
        <v>2</v>
      </c>
      <c r="AF9" s="59">
        <v>30000</v>
      </c>
      <c r="AG9" s="65">
        <f t="shared" si="6"/>
        <v>60000</v>
      </c>
      <c r="AH9" s="61"/>
      <c r="AI9" s="59">
        <v>60000</v>
      </c>
      <c r="AJ9" s="62">
        <f t="shared" si="7"/>
        <v>0</v>
      </c>
    </row>
    <row r="10" spans="2:36" ht="16.5" thickBot="1">
      <c r="B10" s="43" t="s">
        <v>258</v>
      </c>
      <c r="C10" s="32">
        <v>12</v>
      </c>
      <c r="D10" s="32">
        <v>5</v>
      </c>
      <c r="E10" s="32">
        <v>5</v>
      </c>
      <c r="F10" s="44">
        <f t="shared" si="8"/>
        <v>17</v>
      </c>
      <c r="H10" s="43" t="s">
        <v>258</v>
      </c>
      <c r="I10" s="44">
        <v>17</v>
      </c>
      <c r="L10" s="46" t="s">
        <v>258</v>
      </c>
      <c r="M10" s="58">
        <v>1</v>
      </c>
      <c r="N10" s="59">
        <v>160000</v>
      </c>
      <c r="O10" s="73">
        <f t="shared" si="0"/>
        <v>160000</v>
      </c>
      <c r="P10" s="61">
        <v>6</v>
      </c>
      <c r="Q10" s="59">
        <v>90000</v>
      </c>
      <c r="R10" s="65">
        <f t="shared" si="1"/>
        <v>540000</v>
      </c>
      <c r="S10" s="67"/>
      <c r="T10" s="59">
        <v>140000</v>
      </c>
      <c r="U10" s="65">
        <f t="shared" si="2"/>
        <v>0</v>
      </c>
      <c r="V10" s="61">
        <v>1</v>
      </c>
      <c r="W10" s="59">
        <v>60000</v>
      </c>
      <c r="X10" s="65">
        <f t="shared" si="3"/>
        <v>60000</v>
      </c>
      <c r="Y10" s="61"/>
      <c r="Z10" s="59">
        <v>160000</v>
      </c>
      <c r="AA10" s="65">
        <f t="shared" si="4"/>
        <v>0</v>
      </c>
      <c r="AB10" s="61"/>
      <c r="AC10" s="59">
        <v>90000</v>
      </c>
      <c r="AD10" s="62">
        <f t="shared" si="5"/>
        <v>0</v>
      </c>
      <c r="AE10" s="61"/>
      <c r="AF10" s="59">
        <v>30000</v>
      </c>
      <c r="AG10" s="65">
        <f t="shared" si="6"/>
        <v>0</v>
      </c>
      <c r="AH10" s="61"/>
      <c r="AI10" s="59">
        <v>60000</v>
      </c>
      <c r="AJ10" s="62">
        <f t="shared" si="7"/>
        <v>0</v>
      </c>
    </row>
    <row r="11" spans="2:36" ht="16.5" thickBot="1">
      <c r="B11" s="43" t="s">
        <v>229</v>
      </c>
      <c r="C11" s="32">
        <v>11</v>
      </c>
      <c r="D11" s="32">
        <v>2</v>
      </c>
      <c r="E11" s="50">
        <v>1</v>
      </c>
      <c r="F11" s="51">
        <f t="shared" si="8"/>
        <v>13</v>
      </c>
      <c r="H11" s="43" t="s">
        <v>229</v>
      </c>
      <c r="I11" s="51">
        <v>13</v>
      </c>
      <c r="L11" s="77" t="s">
        <v>229</v>
      </c>
      <c r="M11" s="75">
        <v>12</v>
      </c>
      <c r="N11" s="63">
        <v>160000</v>
      </c>
      <c r="O11" s="74">
        <f t="shared" si="0"/>
        <v>1920000</v>
      </c>
      <c r="P11" s="68"/>
      <c r="Q11" s="63">
        <v>90000</v>
      </c>
      <c r="R11" s="66">
        <f t="shared" si="1"/>
        <v>0</v>
      </c>
      <c r="S11" s="68">
        <v>12</v>
      </c>
      <c r="T11" s="63">
        <v>140000</v>
      </c>
      <c r="U11" s="66">
        <f t="shared" si="2"/>
        <v>1680000</v>
      </c>
      <c r="V11" s="68">
        <v>2</v>
      </c>
      <c r="W11" s="63">
        <v>60000</v>
      </c>
      <c r="X11" s="66">
        <f t="shared" si="3"/>
        <v>120000</v>
      </c>
      <c r="Y11" s="68"/>
      <c r="Z11" s="63">
        <v>160000</v>
      </c>
      <c r="AA11" s="66">
        <f t="shared" si="4"/>
        <v>0</v>
      </c>
      <c r="AB11" s="68">
        <v>12</v>
      </c>
      <c r="AC11" s="63">
        <v>90000</v>
      </c>
      <c r="AD11" s="64">
        <f t="shared" si="5"/>
        <v>1080000</v>
      </c>
      <c r="AE11" s="68">
        <v>2</v>
      </c>
      <c r="AF11" s="63">
        <v>30000</v>
      </c>
      <c r="AG11" s="66">
        <f t="shared" si="6"/>
        <v>60000</v>
      </c>
      <c r="AH11" s="68">
        <v>1</v>
      </c>
      <c r="AI11" s="63">
        <v>60000</v>
      </c>
      <c r="AJ11" s="64">
        <f t="shared" si="7"/>
        <v>60000</v>
      </c>
    </row>
    <row r="12" spans="2:36" ht="16.5" thickBot="1">
      <c r="B12" s="143"/>
      <c r="C12" s="144"/>
      <c r="D12" s="145"/>
      <c r="E12" s="54">
        <f>SUM(E6:E11)</f>
        <v>39</v>
      </c>
      <c r="F12" s="53">
        <f>SUM(F6:F11)</f>
        <v>130</v>
      </c>
      <c r="H12" s="82"/>
      <c r="I12" s="57">
        <f>SUM(I6:I11)</f>
        <v>130</v>
      </c>
    </row>
    <row r="13" spans="2:36" ht="15.95" customHeight="1" thickBot="1">
      <c r="B13" s="141" t="s">
        <v>539</v>
      </c>
      <c r="C13" s="149"/>
      <c r="D13" s="149"/>
      <c r="E13" s="149"/>
      <c r="F13" s="142"/>
      <c r="H13" s="141" t="s">
        <v>539</v>
      </c>
      <c r="I13" s="142"/>
    </row>
    <row r="14" spans="2:36" ht="16.5" thickBot="1">
      <c r="B14" s="47" t="s">
        <v>530</v>
      </c>
      <c r="C14" s="47" t="s">
        <v>531</v>
      </c>
      <c r="D14" s="47" t="s">
        <v>532</v>
      </c>
      <c r="E14" s="47" t="s">
        <v>533</v>
      </c>
      <c r="F14" s="46" t="s">
        <v>534</v>
      </c>
      <c r="H14" s="47" t="s">
        <v>530</v>
      </c>
      <c r="I14" s="79" t="s">
        <v>535</v>
      </c>
    </row>
    <row r="15" spans="2:36" ht="15.95">
      <c r="B15" s="43" t="s">
        <v>15</v>
      </c>
      <c r="C15" s="32">
        <v>20</v>
      </c>
      <c r="D15" s="32"/>
      <c r="E15" s="32"/>
      <c r="F15" s="49">
        <f>C15+D15</f>
        <v>20</v>
      </c>
      <c r="H15" s="43" t="s">
        <v>15</v>
      </c>
      <c r="I15" s="49">
        <v>20</v>
      </c>
    </row>
    <row r="16" spans="2:36" ht="15.95">
      <c r="B16" s="43" t="s">
        <v>160</v>
      </c>
      <c r="C16" s="32">
        <f>COUNTIF(Tablet!F28:F36,"&lt;&gt;")</f>
        <v>9</v>
      </c>
      <c r="D16" s="32"/>
      <c r="E16" s="32"/>
      <c r="F16" s="44">
        <f>C16+D16</f>
        <v>9</v>
      </c>
      <c r="H16" s="43" t="s">
        <v>160</v>
      </c>
      <c r="I16" s="44">
        <v>11</v>
      </c>
    </row>
    <row r="17" spans="2:9" ht="15.95">
      <c r="B17" s="43" t="s">
        <v>99</v>
      </c>
      <c r="C17" s="32">
        <f>COUNTIF(Tablet!F28:F36,"&lt;&gt;")</f>
        <v>9</v>
      </c>
      <c r="D17" s="32"/>
      <c r="E17" s="32"/>
      <c r="F17" s="44">
        <f t="shared" ref="F17:F20" si="9">C17+D17</f>
        <v>9</v>
      </c>
      <c r="H17" s="43" t="s">
        <v>99</v>
      </c>
      <c r="I17" s="44">
        <v>11</v>
      </c>
    </row>
    <row r="18" spans="2:9" ht="15.95">
      <c r="B18" s="43" t="s">
        <v>298</v>
      </c>
      <c r="C18" s="32">
        <v>12</v>
      </c>
      <c r="D18" s="32"/>
      <c r="E18" s="32"/>
      <c r="F18" s="44">
        <f t="shared" si="9"/>
        <v>12</v>
      </c>
      <c r="H18" s="43" t="s">
        <v>298</v>
      </c>
      <c r="I18" s="44">
        <v>12</v>
      </c>
    </row>
    <row r="19" spans="2:9" ht="15.95">
      <c r="B19" s="43" t="s">
        <v>258</v>
      </c>
      <c r="C19" s="32">
        <v>12</v>
      </c>
      <c r="D19" s="32"/>
      <c r="E19" s="32"/>
      <c r="F19" s="44">
        <f t="shared" si="9"/>
        <v>12</v>
      </c>
      <c r="H19" s="43" t="s">
        <v>258</v>
      </c>
      <c r="I19" s="44">
        <v>12</v>
      </c>
    </row>
    <row r="20" spans="2:9" ht="16.5" thickBot="1">
      <c r="B20" s="43" t="s">
        <v>229</v>
      </c>
      <c r="C20" s="32">
        <f>COUNTIF(Tablet!F50:F58,"&lt;&gt;")</f>
        <v>8</v>
      </c>
      <c r="D20" s="32"/>
      <c r="E20" s="50"/>
      <c r="F20" s="51">
        <f t="shared" si="9"/>
        <v>8</v>
      </c>
      <c r="H20" s="43" t="s">
        <v>229</v>
      </c>
      <c r="I20" s="51">
        <v>8</v>
      </c>
    </row>
    <row r="21" spans="2:9" ht="16.5" thickBot="1">
      <c r="B21" s="143"/>
      <c r="C21" s="144"/>
      <c r="D21" s="145"/>
      <c r="E21" s="55">
        <f t="shared" ref="E21" si="10">SUM(E15:E20)</f>
        <v>0</v>
      </c>
      <c r="F21" s="54">
        <f>SUM(F15:F20)</f>
        <v>70</v>
      </c>
      <c r="H21" s="82"/>
      <c r="I21" s="57">
        <f>SUM(I15:I20)</f>
        <v>74</v>
      </c>
    </row>
    <row r="22" spans="2:9" ht="15.95" customHeight="1" thickBot="1">
      <c r="B22" s="141" t="s">
        <v>540</v>
      </c>
      <c r="C22" s="149"/>
      <c r="D22" s="149"/>
      <c r="E22" s="149"/>
      <c r="F22" s="142"/>
      <c r="H22" s="141" t="s">
        <v>540</v>
      </c>
      <c r="I22" s="142"/>
    </row>
    <row r="23" spans="2:9" ht="16.5" thickBot="1">
      <c r="B23" s="47" t="s">
        <v>530</v>
      </c>
      <c r="C23" s="47" t="s">
        <v>531</v>
      </c>
      <c r="D23" s="47" t="s">
        <v>532</v>
      </c>
      <c r="E23" s="47" t="s">
        <v>533</v>
      </c>
      <c r="F23" s="46" t="s">
        <v>534</v>
      </c>
      <c r="H23" s="47" t="s">
        <v>530</v>
      </c>
      <c r="I23" s="79" t="s">
        <v>535</v>
      </c>
    </row>
    <row r="24" spans="2:9" ht="15.95">
      <c r="B24" s="43" t="s">
        <v>15</v>
      </c>
      <c r="C24" s="32"/>
      <c r="D24" s="32">
        <v>3</v>
      </c>
      <c r="E24" s="32">
        <v>3</v>
      </c>
      <c r="F24" s="44">
        <f>C24+D24</f>
        <v>3</v>
      </c>
      <c r="H24" s="43" t="s">
        <v>15</v>
      </c>
      <c r="I24" s="44">
        <v>3</v>
      </c>
    </row>
    <row r="25" spans="2:9" ht="15.95">
      <c r="B25" s="43" t="s">
        <v>160</v>
      </c>
      <c r="C25" s="32"/>
      <c r="D25" s="32">
        <v>5</v>
      </c>
      <c r="E25" s="32">
        <v>5</v>
      </c>
      <c r="F25" s="44">
        <f t="shared" ref="F25:F29" si="11">C25+D25</f>
        <v>5</v>
      </c>
      <c r="H25" s="43" t="s">
        <v>160</v>
      </c>
      <c r="I25" s="44">
        <v>5</v>
      </c>
    </row>
    <row r="26" spans="2:9" ht="15.95">
      <c r="B26" s="43" t="s">
        <v>99</v>
      </c>
      <c r="C26" s="32">
        <v>1</v>
      </c>
      <c r="D26" s="32"/>
      <c r="E26" s="32"/>
      <c r="F26" s="44">
        <f t="shared" si="11"/>
        <v>1</v>
      </c>
      <c r="H26" s="43" t="s">
        <v>99</v>
      </c>
      <c r="I26" s="44">
        <v>1</v>
      </c>
    </row>
    <row r="27" spans="2:9" ht="15.95">
      <c r="B27" s="43" t="s">
        <v>298</v>
      </c>
      <c r="C27" s="32"/>
      <c r="D27" s="32">
        <v>2</v>
      </c>
      <c r="E27" s="32">
        <v>2</v>
      </c>
      <c r="F27" s="44">
        <f t="shared" si="11"/>
        <v>2</v>
      </c>
      <c r="H27" s="43" t="s">
        <v>298</v>
      </c>
      <c r="I27" s="44">
        <v>2</v>
      </c>
    </row>
    <row r="28" spans="2:9" ht="15.95">
      <c r="B28" s="43" t="s">
        <v>258</v>
      </c>
      <c r="C28" s="32">
        <v>2</v>
      </c>
      <c r="D28" s="32"/>
      <c r="E28" s="32"/>
      <c r="F28" s="44">
        <f t="shared" si="11"/>
        <v>2</v>
      </c>
      <c r="H28" s="43" t="s">
        <v>258</v>
      </c>
      <c r="I28" s="44">
        <v>2</v>
      </c>
    </row>
    <row r="29" spans="2:9" ht="16.5" thickBot="1">
      <c r="B29" s="43" t="s">
        <v>229</v>
      </c>
      <c r="C29" s="32">
        <v>1</v>
      </c>
      <c r="D29" s="32">
        <v>1</v>
      </c>
      <c r="E29" s="50">
        <v>1</v>
      </c>
      <c r="F29" s="51">
        <f t="shared" si="11"/>
        <v>2</v>
      </c>
      <c r="H29" s="43" t="s">
        <v>229</v>
      </c>
      <c r="I29" s="51">
        <v>2</v>
      </c>
    </row>
    <row r="30" spans="2:9" ht="16.5" thickBot="1">
      <c r="B30" s="143"/>
      <c r="C30" s="144"/>
      <c r="D30" s="145"/>
      <c r="E30" s="56">
        <f t="shared" ref="E30:F30" si="12">SUM(E24:E29)</f>
        <v>11</v>
      </c>
      <c r="F30" s="52">
        <f t="shared" si="12"/>
        <v>15</v>
      </c>
      <c r="H30" s="82"/>
      <c r="I30" s="57">
        <f>SUM(I28:I29)</f>
        <v>4</v>
      </c>
    </row>
    <row r="31" spans="2:9" ht="15.95"/>
  </sheetData>
  <sheetProtection algorithmName="SHA-512" hashValue="P98f6mETuKj10zjcIi2WX6jFVdA0jVuCXZ5uO2rgrxi+M0UxxPwPZZssT7+WkqjtejxN6fj/PzdLoMqkPX1ttw==" saltValue="Nzj8aBM7Zm9fqS7Hz4hSrw==" spinCount="100000" sheet="1" objects="1" scenarios="1"/>
  <mergeCells count="23">
    <mergeCell ref="M4:O4"/>
    <mergeCell ref="L3:L5"/>
    <mergeCell ref="P4:R4"/>
    <mergeCell ref="L2:AJ2"/>
    <mergeCell ref="AH4:AJ4"/>
    <mergeCell ref="Y3:AJ3"/>
    <mergeCell ref="S4:U4"/>
    <mergeCell ref="Y4:AA4"/>
    <mergeCell ref="AB4:AD4"/>
    <mergeCell ref="AE4:AG4"/>
    <mergeCell ref="V4:X4"/>
    <mergeCell ref="M3:X3"/>
    <mergeCell ref="H13:I13"/>
    <mergeCell ref="H22:I22"/>
    <mergeCell ref="B30:D30"/>
    <mergeCell ref="B3:F3"/>
    <mergeCell ref="B4:F4"/>
    <mergeCell ref="B13:F13"/>
    <mergeCell ref="B22:F22"/>
    <mergeCell ref="B21:D21"/>
    <mergeCell ref="B12:D12"/>
    <mergeCell ref="H3:I3"/>
    <mergeCell ref="H4:I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A23A-AC23-F049-8182-55D1BC1A7309}">
  <dimension ref="A1:F161"/>
  <sheetViews>
    <sheetView topLeftCell="A48" workbookViewId="0">
      <selection activeCell="B2" sqref="B2:C116"/>
    </sheetView>
  </sheetViews>
  <sheetFormatPr defaultColWidth="11" defaultRowHeight="15.95"/>
  <cols>
    <col min="1" max="1" width="6.5" style="2" customWidth="1"/>
    <col min="2" max="2" width="42.5" customWidth="1"/>
    <col min="3" max="3" width="24.5" customWidth="1"/>
    <col min="4" max="4" width="19.5" customWidth="1"/>
    <col min="5" max="5" width="37.5" customWidth="1"/>
    <col min="6" max="6" width="13.5" customWidth="1"/>
  </cols>
  <sheetData>
    <row r="1" spans="1:6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541</v>
      </c>
    </row>
    <row r="2" spans="1:6">
      <c r="A2" s="5">
        <v>1</v>
      </c>
      <c r="B2" s="6" t="s">
        <v>13</v>
      </c>
      <c r="C2" s="6" t="s">
        <v>14</v>
      </c>
      <c r="D2" s="6" t="s">
        <v>15</v>
      </c>
      <c r="E2" s="6" t="s">
        <v>100</v>
      </c>
      <c r="F2" s="6" t="s">
        <v>542</v>
      </c>
    </row>
    <row r="3" spans="1:6">
      <c r="A3" s="5">
        <v>2</v>
      </c>
      <c r="B3" s="6" t="s">
        <v>21</v>
      </c>
      <c r="C3" s="6" t="s">
        <v>22</v>
      </c>
      <c r="D3" s="6" t="s">
        <v>15</v>
      </c>
      <c r="E3" s="6" t="s">
        <v>23</v>
      </c>
      <c r="F3" s="6" t="s">
        <v>542</v>
      </c>
    </row>
    <row r="4" spans="1:6">
      <c r="A4" s="5">
        <v>3</v>
      </c>
      <c r="B4" s="6" t="s">
        <v>29</v>
      </c>
      <c r="C4" s="6" t="s">
        <v>30</v>
      </c>
      <c r="D4" s="6" t="s">
        <v>15</v>
      </c>
      <c r="E4" s="6" t="s">
        <v>31</v>
      </c>
      <c r="F4" s="6" t="s">
        <v>542</v>
      </c>
    </row>
    <row r="5" spans="1:6">
      <c r="A5" s="5">
        <v>4</v>
      </c>
      <c r="B5" s="6" t="s">
        <v>36</v>
      </c>
      <c r="C5" s="6" t="s">
        <v>37</v>
      </c>
      <c r="D5" s="6" t="s">
        <v>15</v>
      </c>
      <c r="E5" s="6" t="s">
        <v>23</v>
      </c>
      <c r="F5" s="6" t="s">
        <v>542</v>
      </c>
    </row>
    <row r="6" spans="1:6">
      <c r="A6" s="5">
        <v>5</v>
      </c>
      <c r="B6" s="6" t="s">
        <v>51</v>
      </c>
      <c r="C6" s="6" t="s">
        <v>52</v>
      </c>
      <c r="D6" s="6" t="s">
        <v>15</v>
      </c>
      <c r="E6" s="6" t="s">
        <v>53</v>
      </c>
      <c r="F6" s="6" t="s">
        <v>542</v>
      </c>
    </row>
    <row r="7" spans="1:6">
      <c r="A7" s="5">
        <v>6</v>
      </c>
      <c r="B7" s="6" t="s">
        <v>58</v>
      </c>
      <c r="C7" s="6" t="s">
        <v>59</v>
      </c>
      <c r="D7" s="6" t="s">
        <v>15</v>
      </c>
      <c r="E7" s="6" t="s">
        <v>53</v>
      </c>
      <c r="F7" s="6" t="s">
        <v>542</v>
      </c>
    </row>
    <row r="8" spans="1:6">
      <c r="A8" s="5">
        <v>7</v>
      </c>
      <c r="B8" s="6" t="s">
        <v>61</v>
      </c>
      <c r="C8" s="6" t="s">
        <v>62</v>
      </c>
      <c r="D8" s="6" t="s">
        <v>15</v>
      </c>
      <c r="E8" s="6" t="s">
        <v>53</v>
      </c>
      <c r="F8" s="6" t="s">
        <v>542</v>
      </c>
    </row>
    <row r="9" spans="1:6">
      <c r="A9" s="5">
        <v>8</v>
      </c>
      <c r="B9" s="6" t="s">
        <v>67</v>
      </c>
      <c r="C9" s="6" t="s">
        <v>68</v>
      </c>
      <c r="D9" s="6" t="s">
        <v>15</v>
      </c>
      <c r="E9" s="6" t="s">
        <v>63</v>
      </c>
      <c r="F9" s="6" t="s">
        <v>542</v>
      </c>
    </row>
    <row r="10" spans="1:6">
      <c r="A10" s="5">
        <v>9</v>
      </c>
      <c r="B10" s="6" t="s">
        <v>72</v>
      </c>
      <c r="C10" s="6" t="s">
        <v>73</v>
      </c>
      <c r="D10" s="6" t="s">
        <v>15</v>
      </c>
      <c r="E10" s="6" t="s">
        <v>63</v>
      </c>
      <c r="F10" s="6" t="s">
        <v>542</v>
      </c>
    </row>
    <row r="11" spans="1:6">
      <c r="A11" s="5">
        <v>10</v>
      </c>
      <c r="B11" s="6" t="s">
        <v>75</v>
      </c>
      <c r="C11" s="6" t="s">
        <v>76</v>
      </c>
      <c r="D11" s="6" t="s">
        <v>15</v>
      </c>
      <c r="E11" s="6" t="s">
        <v>63</v>
      </c>
      <c r="F11" s="6" t="s">
        <v>542</v>
      </c>
    </row>
    <row r="12" spans="1:6">
      <c r="A12" s="5">
        <v>11</v>
      </c>
      <c r="B12" s="6" t="s">
        <v>80</v>
      </c>
      <c r="C12" s="6" t="s">
        <v>81</v>
      </c>
      <c r="D12" s="6" t="s">
        <v>15</v>
      </c>
      <c r="E12" s="6" t="s">
        <v>63</v>
      </c>
      <c r="F12" s="6" t="s">
        <v>542</v>
      </c>
    </row>
    <row r="13" spans="1:6">
      <c r="A13" s="5">
        <v>12</v>
      </c>
      <c r="B13" s="6" t="s">
        <v>83</v>
      </c>
      <c r="C13" s="6" t="s">
        <v>84</v>
      </c>
      <c r="D13" s="6" t="s">
        <v>15</v>
      </c>
      <c r="E13" s="6" t="s">
        <v>85</v>
      </c>
      <c r="F13" s="6" t="s">
        <v>542</v>
      </c>
    </row>
    <row r="14" spans="1:6">
      <c r="A14" s="5">
        <v>13</v>
      </c>
      <c r="B14" s="6" t="s">
        <v>86</v>
      </c>
      <c r="C14" s="6" t="s">
        <v>87</v>
      </c>
      <c r="D14" s="6" t="s">
        <v>15</v>
      </c>
      <c r="E14" s="6" t="s">
        <v>85</v>
      </c>
      <c r="F14" s="6" t="s">
        <v>542</v>
      </c>
    </row>
    <row r="15" spans="1:6">
      <c r="A15" s="5">
        <v>14</v>
      </c>
      <c r="B15" s="6" t="s">
        <v>90</v>
      </c>
      <c r="C15" s="6" t="s">
        <v>91</v>
      </c>
      <c r="D15" s="6" t="s">
        <v>15</v>
      </c>
      <c r="E15" s="6" t="s">
        <v>85</v>
      </c>
      <c r="F15" s="6" t="s">
        <v>542</v>
      </c>
    </row>
    <row r="16" spans="1:6">
      <c r="A16" s="5">
        <v>15</v>
      </c>
      <c r="B16" s="6" t="s">
        <v>93</v>
      </c>
      <c r="C16" s="6" t="s">
        <v>94</v>
      </c>
      <c r="D16" s="6" t="s">
        <v>15</v>
      </c>
      <c r="E16" s="6" t="s">
        <v>95</v>
      </c>
      <c r="F16" s="6" t="s">
        <v>542</v>
      </c>
    </row>
    <row r="17" spans="1:6">
      <c r="A17" s="5">
        <v>16</v>
      </c>
      <c r="B17" s="6" t="s">
        <v>97</v>
      </c>
      <c r="C17" s="6" t="s">
        <v>98</v>
      </c>
      <c r="D17" s="6" t="s">
        <v>99</v>
      </c>
      <c r="E17" s="6" t="s">
        <v>100</v>
      </c>
      <c r="F17" s="6" t="s">
        <v>542</v>
      </c>
    </row>
    <row r="18" spans="1:6" ht="15.95" customHeight="1">
      <c r="A18" s="5">
        <v>17</v>
      </c>
      <c r="B18" s="6" t="s">
        <v>113</v>
      </c>
      <c r="C18" s="6" t="s">
        <v>114</v>
      </c>
      <c r="D18" s="6" t="s">
        <v>99</v>
      </c>
      <c r="E18" s="6" t="s">
        <v>115</v>
      </c>
      <c r="F18" s="6" t="s">
        <v>542</v>
      </c>
    </row>
    <row r="19" spans="1:6">
      <c r="A19" s="5">
        <v>18</v>
      </c>
      <c r="B19" s="6" t="s">
        <v>134</v>
      </c>
      <c r="C19" s="6" t="s">
        <v>461</v>
      </c>
      <c r="D19" s="6" t="s">
        <v>99</v>
      </c>
      <c r="E19" s="6" t="s">
        <v>115</v>
      </c>
      <c r="F19" s="6" t="s">
        <v>542</v>
      </c>
    </row>
    <row r="20" spans="1:6">
      <c r="A20" s="5">
        <v>19</v>
      </c>
      <c r="B20" s="6" t="s">
        <v>473</v>
      </c>
      <c r="C20" s="6" t="s">
        <v>474</v>
      </c>
      <c r="D20" s="6" t="s">
        <v>160</v>
      </c>
      <c r="E20" s="6" t="s">
        <v>31</v>
      </c>
      <c r="F20" s="6" t="s">
        <v>542</v>
      </c>
    </row>
    <row r="21" spans="1:6">
      <c r="A21" s="5">
        <v>20</v>
      </c>
      <c r="B21" s="6" t="s">
        <v>425</v>
      </c>
      <c r="C21" s="6" t="s">
        <v>426</v>
      </c>
      <c r="D21" s="6" t="s">
        <v>99</v>
      </c>
      <c r="E21" s="6" t="s">
        <v>53</v>
      </c>
      <c r="F21" s="6" t="s">
        <v>542</v>
      </c>
    </row>
    <row r="22" spans="1:6">
      <c r="A22" s="5">
        <v>21</v>
      </c>
      <c r="B22" s="6" t="s">
        <v>543</v>
      </c>
      <c r="C22" s="6" t="s">
        <v>544</v>
      </c>
      <c r="D22" s="6" t="s">
        <v>99</v>
      </c>
      <c r="E22" s="6" t="s">
        <v>63</v>
      </c>
      <c r="F22" s="6" t="s">
        <v>542</v>
      </c>
    </row>
    <row r="23" spans="1:6">
      <c r="A23" s="5">
        <v>22</v>
      </c>
      <c r="B23" s="6" t="s">
        <v>133</v>
      </c>
      <c r="C23" s="6" t="s">
        <v>545</v>
      </c>
      <c r="D23" s="6" t="s">
        <v>99</v>
      </c>
      <c r="E23" s="6" t="s">
        <v>63</v>
      </c>
      <c r="F23" s="6" t="s">
        <v>542</v>
      </c>
    </row>
    <row r="24" spans="1:6" ht="15.95" customHeight="1">
      <c r="A24" s="5">
        <v>23</v>
      </c>
      <c r="B24" s="6" t="s">
        <v>145</v>
      </c>
      <c r="C24" s="6" t="s">
        <v>146</v>
      </c>
      <c r="D24" s="6" t="s">
        <v>99</v>
      </c>
      <c r="E24" s="6" t="s">
        <v>63</v>
      </c>
      <c r="F24" s="6" t="s">
        <v>542</v>
      </c>
    </row>
    <row r="25" spans="1:6">
      <c r="A25" s="5">
        <v>24</v>
      </c>
      <c r="B25" s="6" t="s">
        <v>140</v>
      </c>
      <c r="C25" s="6" t="s">
        <v>141</v>
      </c>
      <c r="D25" s="6" t="s">
        <v>99</v>
      </c>
      <c r="E25" s="6" t="s">
        <v>63</v>
      </c>
      <c r="F25" s="6" t="s">
        <v>542</v>
      </c>
    </row>
    <row r="26" spans="1:6">
      <c r="A26" s="5">
        <v>25</v>
      </c>
      <c r="B26" s="6" t="s">
        <v>102</v>
      </c>
      <c r="C26" s="6" t="s">
        <v>428</v>
      </c>
      <c r="D26" s="6" t="s">
        <v>99</v>
      </c>
      <c r="E26" s="6" t="s">
        <v>85</v>
      </c>
      <c r="F26" s="6" t="s">
        <v>542</v>
      </c>
    </row>
    <row r="27" spans="1:6">
      <c r="A27" s="5">
        <v>26</v>
      </c>
      <c r="B27" s="6" t="s">
        <v>546</v>
      </c>
      <c r="C27" s="6" t="s">
        <v>547</v>
      </c>
      <c r="D27" s="6" t="s">
        <v>99</v>
      </c>
      <c r="E27" s="6" t="s">
        <v>85</v>
      </c>
      <c r="F27" s="6" t="s">
        <v>542</v>
      </c>
    </row>
    <row r="28" spans="1:6" ht="15.95" customHeight="1">
      <c r="A28" s="5">
        <v>27</v>
      </c>
      <c r="B28" s="6" t="s">
        <v>149</v>
      </c>
      <c r="C28" s="6" t="s">
        <v>150</v>
      </c>
      <c r="D28" s="6" t="s">
        <v>99</v>
      </c>
      <c r="E28" s="6" t="s">
        <v>427</v>
      </c>
      <c r="F28" s="6" t="s">
        <v>542</v>
      </c>
    </row>
    <row r="29" spans="1:6" ht="15.95" customHeight="1">
      <c r="A29" s="5">
        <v>28</v>
      </c>
      <c r="B29" s="6" t="s">
        <v>158</v>
      </c>
      <c r="C29" s="6" t="s">
        <v>159</v>
      </c>
      <c r="D29" s="6" t="s">
        <v>160</v>
      </c>
      <c r="E29" s="6" t="s">
        <v>16</v>
      </c>
      <c r="F29" s="6" t="s">
        <v>542</v>
      </c>
    </row>
    <row r="30" spans="1:6">
      <c r="A30" s="5">
        <v>29</v>
      </c>
      <c r="B30" s="6" t="s">
        <v>469</v>
      </c>
      <c r="C30" s="6" t="s">
        <v>106</v>
      </c>
      <c r="D30" s="6" t="s">
        <v>160</v>
      </c>
      <c r="E30" s="6" t="s">
        <v>470</v>
      </c>
      <c r="F30" s="6" t="s">
        <v>542</v>
      </c>
    </row>
    <row r="31" spans="1:6">
      <c r="A31" s="5">
        <v>30</v>
      </c>
      <c r="B31" s="6" t="s">
        <v>168</v>
      </c>
      <c r="C31" s="6" t="s">
        <v>169</v>
      </c>
      <c r="D31" s="6" t="s">
        <v>160</v>
      </c>
      <c r="E31" s="6" t="s">
        <v>433</v>
      </c>
      <c r="F31" s="6" t="s">
        <v>542</v>
      </c>
    </row>
    <row r="32" spans="1:6">
      <c r="A32" s="5">
        <v>31</v>
      </c>
      <c r="B32" s="6" t="s">
        <v>173</v>
      </c>
      <c r="C32" s="6" t="s">
        <v>174</v>
      </c>
      <c r="D32" s="6" t="s">
        <v>160</v>
      </c>
      <c r="E32" s="6" t="s">
        <v>433</v>
      </c>
      <c r="F32" s="6" t="s">
        <v>542</v>
      </c>
    </row>
    <row r="33" spans="1:6">
      <c r="A33" s="5">
        <v>32</v>
      </c>
      <c r="B33" s="6" t="s">
        <v>184</v>
      </c>
      <c r="C33" s="6" t="s">
        <v>185</v>
      </c>
      <c r="D33" s="6" t="s">
        <v>160</v>
      </c>
      <c r="E33" s="6" t="s">
        <v>433</v>
      </c>
      <c r="F33" s="6" t="s">
        <v>542</v>
      </c>
    </row>
    <row r="34" spans="1:6">
      <c r="A34" s="5">
        <v>33</v>
      </c>
      <c r="B34" s="6" t="s">
        <v>471</v>
      </c>
      <c r="C34" s="6" t="s">
        <v>472</v>
      </c>
      <c r="D34" s="6" t="s">
        <v>160</v>
      </c>
      <c r="E34" s="6" t="s">
        <v>433</v>
      </c>
      <c r="F34" s="6" t="s">
        <v>542</v>
      </c>
    </row>
    <row r="35" spans="1:6">
      <c r="A35" s="5">
        <v>20</v>
      </c>
      <c r="B35" s="6" t="s">
        <v>190</v>
      </c>
      <c r="C35" s="6" t="s">
        <v>191</v>
      </c>
      <c r="D35" s="6" t="s">
        <v>99</v>
      </c>
      <c r="E35" s="6" t="s">
        <v>63</v>
      </c>
      <c r="F35" s="6" t="s">
        <v>542</v>
      </c>
    </row>
    <row r="36" spans="1:6">
      <c r="A36" s="5">
        <v>34</v>
      </c>
      <c r="B36" s="6" t="s">
        <v>473</v>
      </c>
      <c r="C36" s="6" t="s">
        <v>474</v>
      </c>
      <c r="D36" s="6" t="s">
        <v>160</v>
      </c>
      <c r="E36" s="6" t="s">
        <v>435</v>
      </c>
      <c r="F36" s="6" t="s">
        <v>542</v>
      </c>
    </row>
    <row r="37" spans="1:6">
      <c r="A37" s="5">
        <v>35</v>
      </c>
      <c r="B37" s="6" t="s">
        <v>154</v>
      </c>
      <c r="C37" s="6" t="s">
        <v>155</v>
      </c>
      <c r="D37" s="6" t="s">
        <v>160</v>
      </c>
      <c r="E37" s="6" t="s">
        <v>435</v>
      </c>
      <c r="F37" s="6" t="s">
        <v>542</v>
      </c>
    </row>
    <row r="38" spans="1:6">
      <c r="A38" s="5">
        <v>36</v>
      </c>
      <c r="B38" s="6" t="s">
        <v>187</v>
      </c>
      <c r="C38" s="6" t="s">
        <v>188</v>
      </c>
      <c r="D38" s="6" t="s">
        <v>160</v>
      </c>
      <c r="E38" s="6" t="s">
        <v>435</v>
      </c>
      <c r="F38" s="6" t="s">
        <v>542</v>
      </c>
    </row>
    <row r="39" spans="1:6">
      <c r="A39" s="5">
        <v>37</v>
      </c>
      <c r="B39" s="6" t="s">
        <v>475</v>
      </c>
      <c r="C39" s="6" t="s">
        <v>476</v>
      </c>
      <c r="D39" s="6" t="s">
        <v>160</v>
      </c>
      <c r="E39" s="6" t="s">
        <v>435</v>
      </c>
      <c r="F39" s="6" t="s">
        <v>542</v>
      </c>
    </row>
    <row r="40" spans="1:6">
      <c r="A40" s="5">
        <v>38</v>
      </c>
      <c r="B40" s="6" t="s">
        <v>172</v>
      </c>
      <c r="C40" s="6" t="s">
        <v>202</v>
      </c>
      <c r="D40" s="6" t="s">
        <v>160</v>
      </c>
      <c r="E40" s="6" t="s">
        <v>477</v>
      </c>
      <c r="F40" s="6" t="s">
        <v>542</v>
      </c>
    </row>
    <row r="41" spans="1:6">
      <c r="A41" s="5">
        <v>39</v>
      </c>
      <c r="B41" s="6" t="s">
        <v>205</v>
      </c>
      <c r="C41" s="6" t="s">
        <v>206</v>
      </c>
      <c r="D41" s="6" t="s">
        <v>160</v>
      </c>
      <c r="E41" s="6" t="s">
        <v>477</v>
      </c>
      <c r="F41" s="6" t="s">
        <v>542</v>
      </c>
    </row>
    <row r="42" spans="1:6">
      <c r="A42" s="5">
        <v>40</v>
      </c>
      <c r="B42" s="6" t="s">
        <v>209</v>
      </c>
      <c r="C42" s="6" t="s">
        <v>210</v>
      </c>
      <c r="D42" s="6" t="s">
        <v>160</v>
      </c>
      <c r="E42" s="6" t="s">
        <v>477</v>
      </c>
      <c r="F42" s="6" t="s">
        <v>542</v>
      </c>
    </row>
    <row r="43" spans="1:6">
      <c r="A43" s="5">
        <v>41</v>
      </c>
      <c r="B43" s="6" t="s">
        <v>214</v>
      </c>
      <c r="C43" s="6" t="s">
        <v>215</v>
      </c>
      <c r="D43" s="6" t="s">
        <v>160</v>
      </c>
      <c r="E43" s="6" t="s">
        <v>477</v>
      </c>
      <c r="F43" s="6" t="s">
        <v>542</v>
      </c>
    </row>
    <row r="44" spans="1:6">
      <c r="A44" s="5">
        <v>42</v>
      </c>
      <c r="B44" s="6" t="s">
        <v>478</v>
      </c>
      <c r="C44" s="6" t="s">
        <v>479</v>
      </c>
      <c r="D44" s="6" t="s">
        <v>160</v>
      </c>
      <c r="E44" s="6" t="s">
        <v>480</v>
      </c>
      <c r="F44" s="6" t="s">
        <v>542</v>
      </c>
    </row>
    <row r="45" spans="1:6">
      <c r="A45" s="5">
        <v>43</v>
      </c>
      <c r="B45" s="6" t="s">
        <v>227</v>
      </c>
      <c r="C45" s="6" t="s">
        <v>228</v>
      </c>
      <c r="D45" s="6" t="s">
        <v>229</v>
      </c>
      <c r="E45" s="6" t="s">
        <v>230</v>
      </c>
      <c r="F45" s="6" t="s">
        <v>542</v>
      </c>
    </row>
    <row r="46" spans="1:6">
      <c r="A46" s="5">
        <v>44</v>
      </c>
      <c r="B46" s="6" t="s">
        <v>236</v>
      </c>
      <c r="C46" s="6" t="s">
        <v>237</v>
      </c>
      <c r="D46" s="6" t="s">
        <v>229</v>
      </c>
      <c r="E46" s="6" t="s">
        <v>31</v>
      </c>
      <c r="F46" s="6" t="s">
        <v>542</v>
      </c>
    </row>
    <row r="47" spans="1:6">
      <c r="A47" s="5">
        <v>45</v>
      </c>
      <c r="B47" s="6" t="s">
        <v>239</v>
      </c>
      <c r="C47" s="6" t="s">
        <v>240</v>
      </c>
      <c r="D47" s="6" t="s">
        <v>229</v>
      </c>
      <c r="E47" s="6" t="s">
        <v>31</v>
      </c>
      <c r="F47" s="6" t="s">
        <v>542</v>
      </c>
    </row>
    <row r="48" spans="1:6">
      <c r="A48" s="5">
        <v>46</v>
      </c>
      <c r="B48" s="6" t="s">
        <v>241</v>
      </c>
      <c r="C48" s="6" t="s">
        <v>242</v>
      </c>
      <c r="D48" s="6" t="s">
        <v>229</v>
      </c>
      <c r="E48" s="6" t="s">
        <v>63</v>
      </c>
      <c r="F48" s="6" t="s">
        <v>542</v>
      </c>
    </row>
    <row r="49" spans="1:6">
      <c r="A49" s="5">
        <v>47</v>
      </c>
      <c r="B49" s="6" t="s">
        <v>244</v>
      </c>
      <c r="C49" s="6" t="s">
        <v>245</v>
      </c>
      <c r="D49" s="6" t="s">
        <v>229</v>
      </c>
      <c r="E49" s="6" t="s">
        <v>63</v>
      </c>
      <c r="F49" s="6" t="s">
        <v>542</v>
      </c>
    </row>
    <row r="50" spans="1:6">
      <c r="A50" s="5">
        <v>48</v>
      </c>
      <c r="B50" s="6" t="s">
        <v>246</v>
      </c>
      <c r="C50" s="6" t="s">
        <v>247</v>
      </c>
      <c r="D50" s="6" t="s">
        <v>229</v>
      </c>
      <c r="E50" s="6" t="s">
        <v>63</v>
      </c>
      <c r="F50" s="6" t="s">
        <v>542</v>
      </c>
    </row>
    <row r="51" spans="1:6">
      <c r="A51" s="5">
        <v>49</v>
      </c>
      <c r="B51" s="6" t="s">
        <v>249</v>
      </c>
      <c r="C51" s="6" t="s">
        <v>250</v>
      </c>
      <c r="D51" s="6" t="s">
        <v>229</v>
      </c>
      <c r="E51" s="6" t="s">
        <v>63</v>
      </c>
      <c r="F51" s="6" t="s">
        <v>542</v>
      </c>
    </row>
    <row r="52" spans="1:6">
      <c r="A52" s="5">
        <v>50</v>
      </c>
      <c r="B52" s="6" t="s">
        <v>252</v>
      </c>
      <c r="C52" s="6" t="s">
        <v>253</v>
      </c>
      <c r="D52" s="6" t="s">
        <v>229</v>
      </c>
      <c r="E52" s="6" t="s">
        <v>85</v>
      </c>
      <c r="F52" s="6" t="s">
        <v>542</v>
      </c>
    </row>
    <row r="53" spans="1:6">
      <c r="A53" s="5">
        <v>51</v>
      </c>
      <c r="B53" s="6" t="s">
        <v>197</v>
      </c>
      <c r="C53" s="6" t="s">
        <v>255</v>
      </c>
      <c r="D53" s="13" t="s">
        <v>229</v>
      </c>
      <c r="E53" s="6" t="s">
        <v>85</v>
      </c>
      <c r="F53" s="6" t="s">
        <v>542</v>
      </c>
    </row>
    <row r="54" spans="1:6">
      <c r="A54" s="5">
        <v>52</v>
      </c>
      <c r="B54" s="6" t="s">
        <v>256</v>
      </c>
      <c r="C54" s="12" t="s">
        <v>257</v>
      </c>
      <c r="D54" s="6" t="s">
        <v>258</v>
      </c>
      <c r="E54" s="6" t="s">
        <v>481</v>
      </c>
      <c r="F54" s="6"/>
    </row>
    <row r="55" spans="1:6">
      <c r="A55" s="5">
        <v>53</v>
      </c>
      <c r="B55" s="6" t="s">
        <v>482</v>
      </c>
      <c r="C55" s="12" t="s">
        <v>483</v>
      </c>
      <c r="D55" s="6" t="s">
        <v>258</v>
      </c>
      <c r="E55" s="6" t="s">
        <v>31</v>
      </c>
      <c r="F55" s="6"/>
    </row>
    <row r="56" spans="1:6">
      <c r="A56" s="5">
        <v>54</v>
      </c>
      <c r="B56" s="6" t="s">
        <v>261</v>
      </c>
      <c r="C56" s="12" t="s">
        <v>262</v>
      </c>
      <c r="D56" s="6" t="s">
        <v>258</v>
      </c>
      <c r="E56" s="6" t="s">
        <v>31</v>
      </c>
      <c r="F56" s="6"/>
    </row>
    <row r="57" spans="1:6">
      <c r="A57" s="5">
        <v>55</v>
      </c>
      <c r="B57" s="6" t="s">
        <v>264</v>
      </c>
      <c r="C57" s="12" t="s">
        <v>265</v>
      </c>
      <c r="D57" s="6" t="s">
        <v>258</v>
      </c>
      <c r="E57" s="6" t="s">
        <v>53</v>
      </c>
      <c r="F57" s="6"/>
    </row>
    <row r="58" spans="1:6">
      <c r="A58" s="5">
        <v>56</v>
      </c>
      <c r="B58" s="6" t="s">
        <v>267</v>
      </c>
      <c r="C58" s="12" t="s">
        <v>268</v>
      </c>
      <c r="D58" s="6" t="s">
        <v>258</v>
      </c>
      <c r="E58" s="6" t="s">
        <v>53</v>
      </c>
      <c r="F58" s="6"/>
    </row>
    <row r="59" spans="1:6">
      <c r="A59" s="5">
        <v>57</v>
      </c>
      <c r="B59" s="6" t="s">
        <v>199</v>
      </c>
      <c r="C59" s="12" t="s">
        <v>200</v>
      </c>
      <c r="D59" s="6" t="s">
        <v>258</v>
      </c>
      <c r="E59" s="6" t="s">
        <v>53</v>
      </c>
      <c r="F59" s="6"/>
    </row>
    <row r="60" spans="1:6">
      <c r="A60" s="5">
        <v>58</v>
      </c>
      <c r="B60" s="6" t="s">
        <v>272</v>
      </c>
      <c r="C60" s="12" t="s">
        <v>273</v>
      </c>
      <c r="D60" s="6" t="s">
        <v>258</v>
      </c>
      <c r="E60" s="6" t="s">
        <v>63</v>
      </c>
      <c r="F60" s="6"/>
    </row>
    <row r="61" spans="1:6">
      <c r="A61" s="5">
        <v>59</v>
      </c>
      <c r="B61" s="6" t="s">
        <v>277</v>
      </c>
      <c r="C61" s="12" t="s">
        <v>278</v>
      </c>
      <c r="D61" s="6" t="s">
        <v>258</v>
      </c>
      <c r="E61" s="6" t="s">
        <v>63</v>
      </c>
      <c r="F61" s="6"/>
    </row>
    <row r="62" spans="1:6">
      <c r="A62" s="5">
        <v>60</v>
      </c>
      <c r="B62" s="6" t="s">
        <v>280</v>
      </c>
      <c r="C62" s="12" t="s">
        <v>281</v>
      </c>
      <c r="D62" s="6" t="s">
        <v>258</v>
      </c>
      <c r="E62" s="6" t="s">
        <v>63</v>
      </c>
      <c r="F62" s="6"/>
    </row>
    <row r="63" spans="1:6">
      <c r="A63" s="5">
        <v>61</v>
      </c>
      <c r="B63" s="6" t="s">
        <v>283</v>
      </c>
      <c r="C63" s="12" t="s">
        <v>284</v>
      </c>
      <c r="D63" s="6" t="s">
        <v>258</v>
      </c>
      <c r="E63" s="6" t="s">
        <v>85</v>
      </c>
      <c r="F63" s="6"/>
    </row>
    <row r="64" spans="1:6">
      <c r="A64" s="5">
        <v>62</v>
      </c>
      <c r="B64" s="6" t="s">
        <v>286</v>
      </c>
      <c r="C64" s="12" t="s">
        <v>287</v>
      </c>
      <c r="D64" s="6" t="s">
        <v>258</v>
      </c>
      <c r="E64" s="6" t="s">
        <v>85</v>
      </c>
      <c r="F64" s="6"/>
    </row>
    <row r="65" spans="1:6">
      <c r="A65" s="5">
        <v>63</v>
      </c>
      <c r="B65" s="6" t="s">
        <v>289</v>
      </c>
      <c r="C65" s="12" t="s">
        <v>290</v>
      </c>
      <c r="D65" s="6" t="s">
        <v>258</v>
      </c>
      <c r="E65" s="6" t="s">
        <v>85</v>
      </c>
      <c r="F65" s="6"/>
    </row>
    <row r="66" spans="1:6">
      <c r="A66" s="5">
        <v>64</v>
      </c>
      <c r="B66" s="6" t="s">
        <v>292</v>
      </c>
      <c r="C66" s="12" t="s">
        <v>293</v>
      </c>
      <c r="D66" s="6" t="s">
        <v>258</v>
      </c>
      <c r="E66" s="6" t="s">
        <v>85</v>
      </c>
      <c r="F66" s="6"/>
    </row>
    <row r="67" spans="1:6">
      <c r="A67" s="5">
        <v>65</v>
      </c>
      <c r="B67" s="6" t="s">
        <v>296</v>
      </c>
      <c r="C67" s="12" t="s">
        <v>297</v>
      </c>
      <c r="D67" s="6" t="s">
        <v>298</v>
      </c>
      <c r="E67" s="6" t="s">
        <v>16</v>
      </c>
      <c r="F67" s="6" t="s">
        <v>542</v>
      </c>
    </row>
    <row r="68" spans="1:6">
      <c r="A68" s="5">
        <v>66</v>
      </c>
      <c r="B68" s="6" t="s">
        <v>302</v>
      </c>
      <c r="C68" s="6" t="s">
        <v>303</v>
      </c>
      <c r="D68" s="14" t="s">
        <v>298</v>
      </c>
      <c r="E68" s="6" t="s">
        <v>31</v>
      </c>
      <c r="F68" s="6" t="s">
        <v>542</v>
      </c>
    </row>
    <row r="69" spans="1:6">
      <c r="A69" s="5">
        <v>67</v>
      </c>
      <c r="B69" s="6" t="s">
        <v>307</v>
      </c>
      <c r="C69" s="6" t="s">
        <v>308</v>
      </c>
      <c r="D69" s="6" t="s">
        <v>298</v>
      </c>
      <c r="E69" s="6" t="s">
        <v>31</v>
      </c>
      <c r="F69" s="6" t="s">
        <v>542</v>
      </c>
    </row>
    <row r="70" spans="1:6">
      <c r="A70" s="5">
        <v>68</v>
      </c>
      <c r="B70" s="6" t="s">
        <v>315</v>
      </c>
      <c r="C70" s="6" t="s">
        <v>316</v>
      </c>
      <c r="D70" s="6" t="s">
        <v>298</v>
      </c>
      <c r="E70" s="6" t="s">
        <v>53</v>
      </c>
      <c r="F70" s="6" t="s">
        <v>542</v>
      </c>
    </row>
    <row r="71" spans="1:6">
      <c r="A71" s="5">
        <v>69</v>
      </c>
      <c r="B71" s="6" t="s">
        <v>318</v>
      </c>
      <c r="C71" s="6" t="s">
        <v>319</v>
      </c>
      <c r="D71" s="6" t="s">
        <v>298</v>
      </c>
      <c r="E71" s="6" t="s">
        <v>53</v>
      </c>
      <c r="F71" s="6" t="s">
        <v>542</v>
      </c>
    </row>
    <row r="72" spans="1:6">
      <c r="A72" s="5">
        <v>70</v>
      </c>
      <c r="B72" s="6" t="s">
        <v>310</v>
      </c>
      <c r="C72" s="6" t="s">
        <v>311</v>
      </c>
      <c r="D72" s="6" t="s">
        <v>298</v>
      </c>
      <c r="E72" s="6" t="s">
        <v>53</v>
      </c>
      <c r="F72" s="6" t="s">
        <v>542</v>
      </c>
    </row>
    <row r="73" spans="1:6">
      <c r="A73" s="5">
        <v>71</v>
      </c>
      <c r="B73" s="6" t="s">
        <v>325</v>
      </c>
      <c r="C73" s="6" t="s">
        <v>326</v>
      </c>
      <c r="D73" s="6" t="s">
        <v>298</v>
      </c>
      <c r="E73" s="6" t="s">
        <v>53</v>
      </c>
      <c r="F73" s="6" t="s">
        <v>542</v>
      </c>
    </row>
    <row r="74" spans="1:6">
      <c r="A74" s="5">
        <v>72</v>
      </c>
      <c r="B74" s="6" t="s">
        <v>331</v>
      </c>
      <c r="C74" s="6" t="s">
        <v>332</v>
      </c>
      <c r="D74" s="6" t="s">
        <v>298</v>
      </c>
      <c r="E74" s="6" t="s">
        <v>53</v>
      </c>
      <c r="F74" s="6" t="s">
        <v>542</v>
      </c>
    </row>
    <row r="75" spans="1:6">
      <c r="A75" s="5">
        <v>73</v>
      </c>
      <c r="B75" s="6" t="s">
        <v>397</v>
      </c>
      <c r="C75" s="6" t="s">
        <v>398</v>
      </c>
      <c r="D75" s="6" t="s">
        <v>298</v>
      </c>
      <c r="E75" s="6" t="s">
        <v>53</v>
      </c>
      <c r="F75" s="6" t="s">
        <v>542</v>
      </c>
    </row>
    <row r="76" spans="1:6">
      <c r="A76" s="5">
        <v>74</v>
      </c>
      <c r="B76" s="6" t="s">
        <v>339</v>
      </c>
      <c r="C76" s="6" t="s">
        <v>340</v>
      </c>
      <c r="D76" s="6" t="s">
        <v>298</v>
      </c>
      <c r="E76" s="6" t="s">
        <v>63</v>
      </c>
      <c r="F76" s="6" t="s">
        <v>542</v>
      </c>
    </row>
    <row r="77" spans="1:6">
      <c r="A77" s="5">
        <v>75</v>
      </c>
      <c r="B77" s="6" t="s">
        <v>343</v>
      </c>
      <c r="C77" s="6" t="s">
        <v>344</v>
      </c>
      <c r="D77" s="6" t="s">
        <v>298</v>
      </c>
      <c r="E77" s="6" t="s">
        <v>63</v>
      </c>
      <c r="F77" s="6" t="s">
        <v>542</v>
      </c>
    </row>
    <row r="78" spans="1:6">
      <c r="A78" s="5">
        <v>76</v>
      </c>
      <c r="B78" s="6" t="s">
        <v>347</v>
      </c>
      <c r="C78" s="6" t="s">
        <v>348</v>
      </c>
      <c r="D78" s="6" t="s">
        <v>298</v>
      </c>
      <c r="E78" s="6" t="s">
        <v>63</v>
      </c>
      <c r="F78" s="6" t="s">
        <v>542</v>
      </c>
    </row>
    <row r="79" spans="1:6">
      <c r="A79" s="5">
        <v>77</v>
      </c>
      <c r="B79" s="6" t="s">
        <v>334</v>
      </c>
      <c r="C79" s="6" t="s">
        <v>335</v>
      </c>
      <c r="D79" s="6" t="s">
        <v>298</v>
      </c>
      <c r="E79" s="6" t="s">
        <v>63</v>
      </c>
      <c r="F79" s="6" t="s">
        <v>542</v>
      </c>
    </row>
    <row r="80" spans="1:6">
      <c r="A80" s="5">
        <v>78</v>
      </c>
      <c r="B80" s="6" t="s">
        <v>306</v>
      </c>
      <c r="C80" s="6" t="s">
        <v>357</v>
      </c>
      <c r="D80" s="6" t="s">
        <v>298</v>
      </c>
      <c r="E80" s="6" t="s">
        <v>85</v>
      </c>
      <c r="F80" s="6" t="s">
        <v>542</v>
      </c>
    </row>
    <row r="81" spans="1:6">
      <c r="A81" s="5">
        <v>79</v>
      </c>
      <c r="B81" s="6" t="s">
        <v>351</v>
      </c>
      <c r="C81" s="6" t="s">
        <v>352</v>
      </c>
      <c r="D81" s="6" t="s">
        <v>298</v>
      </c>
      <c r="E81" s="6" t="s">
        <v>85</v>
      </c>
      <c r="F81" s="6" t="s">
        <v>542</v>
      </c>
    </row>
    <row r="82" spans="1:6">
      <c r="A82" s="5">
        <v>80</v>
      </c>
      <c r="B82" s="6" t="s">
        <v>365</v>
      </c>
      <c r="C82" s="6" t="s">
        <v>366</v>
      </c>
      <c r="D82" s="6" t="s">
        <v>298</v>
      </c>
      <c r="E82" s="6" t="s">
        <v>367</v>
      </c>
      <c r="F82" s="6" t="s">
        <v>542</v>
      </c>
    </row>
    <row r="83" spans="1:6">
      <c r="A83" s="5">
        <v>81</v>
      </c>
      <c r="B83" s="6" t="s">
        <v>373</v>
      </c>
      <c r="C83" s="6" t="s">
        <v>374</v>
      </c>
      <c r="D83" s="6" t="s">
        <v>375</v>
      </c>
      <c r="E83" s="6" t="s">
        <v>376</v>
      </c>
      <c r="F83" s="6" t="s">
        <v>542</v>
      </c>
    </row>
    <row r="84" spans="1:6">
      <c r="A84" s="5">
        <v>82</v>
      </c>
      <c r="B84" s="6" t="s">
        <v>377</v>
      </c>
      <c r="C84" s="6" t="s">
        <v>378</v>
      </c>
      <c r="D84" s="6" t="s">
        <v>375</v>
      </c>
      <c r="E84" s="6" t="s">
        <v>379</v>
      </c>
      <c r="F84" s="6" t="s">
        <v>542</v>
      </c>
    </row>
    <row r="85" spans="1:6">
      <c r="A85" s="5">
        <v>83</v>
      </c>
      <c r="B85" s="6" t="s">
        <v>380</v>
      </c>
      <c r="C85" s="6" t="s">
        <v>381</v>
      </c>
      <c r="D85" s="6" t="s">
        <v>375</v>
      </c>
      <c r="E85" s="6" t="s">
        <v>382</v>
      </c>
      <c r="F85" s="6" t="s">
        <v>542</v>
      </c>
    </row>
    <row r="86" spans="1:6">
      <c r="A86" s="5">
        <v>84</v>
      </c>
      <c r="B86" s="6" t="s">
        <v>383</v>
      </c>
      <c r="C86" s="6" t="s">
        <v>384</v>
      </c>
      <c r="D86" s="6" t="s">
        <v>375</v>
      </c>
      <c r="E86" s="6" t="s">
        <v>367</v>
      </c>
      <c r="F86" s="6" t="s">
        <v>542</v>
      </c>
    </row>
    <row r="87" spans="1:6">
      <c r="A87" s="5">
        <v>85</v>
      </c>
      <c r="B87" s="6" t="s">
        <v>385</v>
      </c>
      <c r="C87" s="6" t="s">
        <v>386</v>
      </c>
      <c r="D87" s="6" t="s">
        <v>375</v>
      </c>
      <c r="E87" s="6" t="s">
        <v>387</v>
      </c>
      <c r="F87" s="6" t="s">
        <v>542</v>
      </c>
    </row>
    <row r="90" spans="1:6">
      <c r="A90" s="7">
        <v>1</v>
      </c>
      <c r="B90" s="8" t="s">
        <v>413</v>
      </c>
      <c r="C90" s="8" t="s">
        <v>548</v>
      </c>
      <c r="D90" s="8" t="s">
        <v>15</v>
      </c>
      <c r="E90" s="8" t="s">
        <v>549</v>
      </c>
      <c r="F90" s="8" t="s">
        <v>550</v>
      </c>
    </row>
    <row r="91" spans="1:6">
      <c r="A91" s="7">
        <v>2</v>
      </c>
      <c r="B91" s="8" t="s">
        <v>66</v>
      </c>
      <c r="C91" s="8" t="s">
        <v>551</v>
      </c>
      <c r="D91" s="8" t="s">
        <v>15</v>
      </c>
      <c r="E91" s="8" t="s">
        <v>549</v>
      </c>
      <c r="F91" s="8" t="s">
        <v>550</v>
      </c>
    </row>
    <row r="92" spans="1:6">
      <c r="A92" s="7">
        <v>4</v>
      </c>
      <c r="B92" s="8" t="s">
        <v>34</v>
      </c>
      <c r="C92" s="8" t="s">
        <v>552</v>
      </c>
      <c r="D92" s="8" t="s">
        <v>15</v>
      </c>
      <c r="E92" s="8" t="s">
        <v>549</v>
      </c>
      <c r="F92" s="8" t="s">
        <v>550</v>
      </c>
    </row>
    <row r="93" spans="1:6">
      <c r="A93" s="7">
        <v>5</v>
      </c>
      <c r="B93" s="8" t="s">
        <v>42</v>
      </c>
      <c r="C93" s="8" t="s">
        <v>553</v>
      </c>
      <c r="D93" s="8" t="s">
        <v>15</v>
      </c>
      <c r="E93" s="8" t="s">
        <v>549</v>
      </c>
      <c r="F93" s="8" t="s">
        <v>550</v>
      </c>
    </row>
    <row r="94" spans="1:6">
      <c r="A94" s="7">
        <v>6</v>
      </c>
      <c r="B94" s="8" t="s">
        <v>48</v>
      </c>
      <c r="C94" s="8" t="s">
        <v>554</v>
      </c>
      <c r="D94" s="8" t="s">
        <v>15</v>
      </c>
      <c r="E94" s="9" t="s">
        <v>555</v>
      </c>
      <c r="F94" s="8" t="s">
        <v>556</v>
      </c>
    </row>
    <row r="95" spans="1:6">
      <c r="A95" s="7">
        <v>7</v>
      </c>
      <c r="B95" s="8" t="s">
        <v>50</v>
      </c>
      <c r="C95" s="8" t="s">
        <v>557</v>
      </c>
      <c r="D95" s="8" t="s">
        <v>15</v>
      </c>
      <c r="E95" s="8" t="s">
        <v>558</v>
      </c>
      <c r="F95" s="8" t="s">
        <v>556</v>
      </c>
    </row>
    <row r="96" spans="1:6">
      <c r="A96" s="7">
        <v>8</v>
      </c>
      <c r="B96" s="8" t="s">
        <v>559</v>
      </c>
      <c r="C96" s="8" t="s">
        <v>560</v>
      </c>
      <c r="D96" s="8" t="s">
        <v>15</v>
      </c>
      <c r="E96" s="9" t="s">
        <v>555</v>
      </c>
      <c r="F96" s="8" t="s">
        <v>556</v>
      </c>
    </row>
    <row r="97" spans="1:6">
      <c r="A97" s="7">
        <v>9</v>
      </c>
      <c r="B97" s="8" t="s">
        <v>102</v>
      </c>
      <c r="C97" s="8" t="s">
        <v>428</v>
      </c>
      <c r="D97" s="8" t="s">
        <v>99</v>
      </c>
      <c r="E97" s="9" t="s">
        <v>555</v>
      </c>
      <c r="F97" s="8" t="s">
        <v>556</v>
      </c>
    </row>
    <row r="98" spans="1:6" ht="15.95" customHeight="1">
      <c r="A98" s="7">
        <v>11</v>
      </c>
      <c r="B98" s="8" t="s">
        <v>561</v>
      </c>
      <c r="C98" s="8" t="s">
        <v>562</v>
      </c>
      <c r="D98" s="8" t="s">
        <v>229</v>
      </c>
      <c r="E98" s="9" t="s">
        <v>555</v>
      </c>
      <c r="F98" s="8" t="s">
        <v>556</v>
      </c>
    </row>
    <row r="99" spans="1:6">
      <c r="A99" s="7">
        <v>12</v>
      </c>
      <c r="B99" s="8" t="s">
        <v>195</v>
      </c>
      <c r="C99" s="8" t="s">
        <v>563</v>
      </c>
      <c r="D99" s="8" t="s">
        <v>99</v>
      </c>
      <c r="E99" s="9" t="s">
        <v>555</v>
      </c>
      <c r="F99" s="8" t="s">
        <v>556</v>
      </c>
    </row>
    <row r="100" spans="1:6">
      <c r="A100" s="7">
        <v>13</v>
      </c>
      <c r="B100" s="8" t="s">
        <v>564</v>
      </c>
      <c r="C100" s="8" t="s">
        <v>565</v>
      </c>
      <c r="D100" s="8" t="s">
        <v>229</v>
      </c>
      <c r="E100" s="9" t="s">
        <v>555</v>
      </c>
      <c r="F100" s="8" t="s">
        <v>556</v>
      </c>
    </row>
    <row r="101" spans="1:6">
      <c r="A101" s="7">
        <v>15</v>
      </c>
      <c r="B101" s="8" t="s">
        <v>566</v>
      </c>
      <c r="C101" s="8" t="s">
        <v>567</v>
      </c>
      <c r="D101" s="8" t="s">
        <v>99</v>
      </c>
      <c r="E101" s="9" t="s">
        <v>555</v>
      </c>
      <c r="F101" s="8" t="s">
        <v>556</v>
      </c>
    </row>
    <row r="102" spans="1:6">
      <c r="A102" s="7">
        <v>16</v>
      </c>
      <c r="B102" s="8" t="s">
        <v>167</v>
      </c>
      <c r="C102" s="8" t="s">
        <v>568</v>
      </c>
      <c r="D102" s="8" t="s">
        <v>160</v>
      </c>
      <c r="E102" s="8" t="s">
        <v>555</v>
      </c>
      <c r="F102" s="8" t="s">
        <v>556</v>
      </c>
    </row>
    <row r="103" spans="1:6">
      <c r="A103" s="7">
        <v>17</v>
      </c>
      <c r="B103" s="8" t="s">
        <v>165</v>
      </c>
      <c r="C103" s="8" t="s">
        <v>217</v>
      </c>
      <c r="D103" s="8" t="s">
        <v>160</v>
      </c>
      <c r="E103" s="8" t="s">
        <v>555</v>
      </c>
      <c r="F103" s="8" t="s">
        <v>556</v>
      </c>
    </row>
    <row r="104" spans="1:6">
      <c r="A104" s="7">
        <v>18</v>
      </c>
      <c r="B104" s="8" t="s">
        <v>162</v>
      </c>
      <c r="C104" s="8" t="s">
        <v>569</v>
      </c>
      <c r="D104" s="8" t="s">
        <v>160</v>
      </c>
      <c r="E104" s="8" t="s">
        <v>555</v>
      </c>
      <c r="F104" s="8" t="s">
        <v>556</v>
      </c>
    </row>
    <row r="105" spans="1:6">
      <c r="A105" s="7">
        <v>19</v>
      </c>
      <c r="B105" s="8" t="s">
        <v>570</v>
      </c>
      <c r="C105" s="8" t="s">
        <v>571</v>
      </c>
      <c r="D105" s="8" t="s">
        <v>160</v>
      </c>
      <c r="E105" s="8" t="s">
        <v>555</v>
      </c>
      <c r="F105" s="8" t="s">
        <v>556</v>
      </c>
    </row>
    <row r="106" spans="1:6">
      <c r="A106" s="7">
        <v>20</v>
      </c>
      <c r="B106" s="8" t="s">
        <v>219</v>
      </c>
      <c r="C106" s="8" t="s">
        <v>220</v>
      </c>
      <c r="D106" s="8" t="s">
        <v>160</v>
      </c>
      <c r="E106" s="8" t="s">
        <v>555</v>
      </c>
      <c r="F106" s="8" t="s">
        <v>556</v>
      </c>
    </row>
    <row r="107" spans="1:6">
      <c r="A107" s="7">
        <v>21</v>
      </c>
      <c r="B107" s="8" t="s">
        <v>222</v>
      </c>
      <c r="C107" s="8" t="s">
        <v>223</v>
      </c>
      <c r="D107" s="8" t="s">
        <v>160</v>
      </c>
      <c r="E107" s="8" t="s">
        <v>555</v>
      </c>
      <c r="F107" s="8" t="s">
        <v>556</v>
      </c>
    </row>
    <row r="108" spans="1:6">
      <c r="A108" s="7">
        <v>22</v>
      </c>
      <c r="B108" s="8" t="s">
        <v>572</v>
      </c>
      <c r="C108" s="8" t="s">
        <v>573</v>
      </c>
      <c r="D108" s="8" t="s">
        <v>160</v>
      </c>
      <c r="E108" s="8" t="s">
        <v>555</v>
      </c>
      <c r="F108" s="8" t="s">
        <v>556</v>
      </c>
    </row>
    <row r="109" spans="1:6">
      <c r="A109" s="7">
        <v>23</v>
      </c>
      <c r="B109" s="8" t="s">
        <v>235</v>
      </c>
      <c r="C109" s="8" t="s">
        <v>574</v>
      </c>
      <c r="D109" s="8" t="s">
        <v>229</v>
      </c>
      <c r="E109" s="8" t="s">
        <v>555</v>
      </c>
      <c r="F109" s="8" t="s">
        <v>556</v>
      </c>
    </row>
    <row r="110" spans="1:6">
      <c r="A110" s="7">
        <v>24</v>
      </c>
      <c r="B110" s="8" t="s">
        <v>232</v>
      </c>
      <c r="C110" s="8" t="s">
        <v>575</v>
      </c>
      <c r="D110" s="8" t="s">
        <v>229</v>
      </c>
      <c r="E110" s="8" t="s">
        <v>555</v>
      </c>
      <c r="F110" s="8" t="s">
        <v>556</v>
      </c>
    </row>
    <row r="111" spans="1:6">
      <c r="A111" s="7">
        <v>25</v>
      </c>
      <c r="B111" s="8" t="s">
        <v>576</v>
      </c>
      <c r="C111" s="8" t="s">
        <v>577</v>
      </c>
      <c r="D111" s="8" t="s">
        <v>229</v>
      </c>
      <c r="E111" s="8" t="s">
        <v>555</v>
      </c>
      <c r="F111" s="8" t="s">
        <v>556</v>
      </c>
    </row>
    <row r="112" spans="1:6">
      <c r="A112" s="7">
        <v>26</v>
      </c>
      <c r="B112" s="8" t="s">
        <v>404</v>
      </c>
      <c r="C112" s="8" t="s">
        <v>578</v>
      </c>
      <c r="D112" s="8" t="s">
        <v>298</v>
      </c>
      <c r="E112" s="8" t="s">
        <v>555</v>
      </c>
      <c r="F112" s="8" t="s">
        <v>556</v>
      </c>
    </row>
    <row r="113" spans="1:6">
      <c r="A113" s="7">
        <v>27</v>
      </c>
      <c r="B113" s="8" t="s">
        <v>407</v>
      </c>
      <c r="C113" s="8" t="s">
        <v>363</v>
      </c>
      <c r="D113" s="8" t="s">
        <v>298</v>
      </c>
      <c r="E113" s="8" t="s">
        <v>555</v>
      </c>
      <c r="F113" s="8" t="s">
        <v>556</v>
      </c>
    </row>
    <row r="114" spans="1:6">
      <c r="A114" s="7">
        <v>28</v>
      </c>
      <c r="B114" s="8" t="s">
        <v>354</v>
      </c>
      <c r="C114" s="8" t="s">
        <v>355</v>
      </c>
      <c r="D114" s="8" t="s">
        <v>298</v>
      </c>
      <c r="E114" s="8" t="s">
        <v>555</v>
      </c>
      <c r="F114" s="8" t="s">
        <v>556</v>
      </c>
    </row>
    <row r="115" spans="1:6">
      <c r="A115" s="7">
        <v>29</v>
      </c>
      <c r="B115" s="8" t="s">
        <v>402</v>
      </c>
      <c r="C115" s="8" t="s">
        <v>579</v>
      </c>
      <c r="D115" s="8" t="s">
        <v>298</v>
      </c>
      <c r="E115" s="8" t="s">
        <v>555</v>
      </c>
      <c r="F115" s="8" t="s">
        <v>556</v>
      </c>
    </row>
    <row r="116" spans="1:6">
      <c r="A116" s="7">
        <v>30</v>
      </c>
      <c r="B116" s="8" t="s">
        <v>396</v>
      </c>
      <c r="C116" s="8" t="s">
        <v>580</v>
      </c>
      <c r="D116" s="8" t="s">
        <v>298</v>
      </c>
      <c r="E116" s="8" t="s">
        <v>555</v>
      </c>
      <c r="F116" s="8" t="s">
        <v>556</v>
      </c>
    </row>
    <row r="120" spans="1:6">
      <c r="B120" t="s">
        <v>581</v>
      </c>
    </row>
    <row r="121" spans="1:6">
      <c r="B121" t="s">
        <v>5</v>
      </c>
      <c r="C121" t="s">
        <v>6</v>
      </c>
      <c r="D121" t="s">
        <v>582</v>
      </c>
      <c r="F121" t="s">
        <v>583</v>
      </c>
    </row>
    <row r="122" spans="1:6">
      <c r="B122" t="s">
        <v>584</v>
      </c>
      <c r="C122" t="s">
        <v>156</v>
      </c>
      <c r="D122">
        <v>2019</v>
      </c>
      <c r="F122" s="11" t="s">
        <v>111</v>
      </c>
    </row>
    <row r="123" spans="1:6">
      <c r="B123" t="s">
        <v>25</v>
      </c>
      <c r="C123" s="1" t="s">
        <v>585</v>
      </c>
      <c r="D123" s="1">
        <v>2020</v>
      </c>
      <c r="F123" s="11" t="s">
        <v>119</v>
      </c>
    </row>
    <row r="124" spans="1:6">
      <c r="B124" t="s">
        <v>122</v>
      </c>
      <c r="C124" s="1" t="s">
        <v>585</v>
      </c>
      <c r="D124" s="1">
        <v>2021</v>
      </c>
      <c r="F124" s="11" t="s">
        <v>70</v>
      </c>
    </row>
    <row r="125" spans="1:6">
      <c r="B125" t="s">
        <v>17</v>
      </c>
      <c r="C125" t="s">
        <v>156</v>
      </c>
      <c r="D125" s="1">
        <v>2021</v>
      </c>
    </row>
    <row r="126" spans="1:6">
      <c r="B126" s="1" t="s">
        <v>176</v>
      </c>
      <c r="C126" s="1" t="s">
        <v>112</v>
      </c>
      <c r="D126" s="1">
        <v>2022</v>
      </c>
    </row>
    <row r="127" spans="1:6">
      <c r="B127" t="s">
        <v>39</v>
      </c>
      <c r="C127" s="1" t="s">
        <v>112</v>
      </c>
      <c r="D127" s="1">
        <v>2023</v>
      </c>
    </row>
    <row r="128" spans="1:6">
      <c r="B128" t="s">
        <v>20</v>
      </c>
      <c r="C128" s="1" t="s">
        <v>112</v>
      </c>
      <c r="D128" s="1">
        <v>2023</v>
      </c>
    </row>
    <row r="129" spans="2:6">
      <c r="B129" t="s">
        <v>193</v>
      </c>
      <c r="C129" s="1" t="s">
        <v>112</v>
      </c>
      <c r="D129" s="1">
        <v>2023</v>
      </c>
    </row>
    <row r="130" spans="2:6">
      <c r="B130" t="s">
        <v>299</v>
      </c>
      <c r="C130" s="1" t="s">
        <v>112</v>
      </c>
      <c r="D130" s="1">
        <v>2023</v>
      </c>
    </row>
    <row r="131" spans="2:6">
      <c r="B131" t="s">
        <v>117</v>
      </c>
      <c r="C131" t="s">
        <v>112</v>
      </c>
      <c r="D131">
        <v>2017</v>
      </c>
    </row>
    <row r="132" spans="2:6">
      <c r="B132" t="s">
        <v>78</v>
      </c>
      <c r="C132" s="1" t="s">
        <v>112</v>
      </c>
      <c r="D132" s="1">
        <v>2022</v>
      </c>
    </row>
    <row r="133" spans="2:6">
      <c r="B133" t="s">
        <v>107</v>
      </c>
      <c r="C133" t="s">
        <v>156</v>
      </c>
      <c r="D133">
        <v>2022</v>
      </c>
    </row>
    <row r="134" spans="2:6">
      <c r="B134" t="s">
        <v>125</v>
      </c>
      <c r="C134" t="s">
        <v>156</v>
      </c>
      <c r="D134">
        <v>2021</v>
      </c>
    </row>
    <row r="135" spans="2:6">
      <c r="B135" t="s">
        <v>32</v>
      </c>
      <c r="C135" t="s">
        <v>156</v>
      </c>
      <c r="D135" s="1">
        <v>2024</v>
      </c>
    </row>
    <row r="139" spans="2:6">
      <c r="B139" t="s">
        <v>586</v>
      </c>
      <c r="C139" t="s">
        <v>6</v>
      </c>
      <c r="D139" t="s">
        <v>582</v>
      </c>
      <c r="F139" t="s">
        <v>583</v>
      </c>
    </row>
    <row r="140" spans="2:6">
      <c r="B140" s="1" t="s">
        <v>411</v>
      </c>
      <c r="C140" t="s">
        <v>431</v>
      </c>
      <c r="D140">
        <v>2023</v>
      </c>
      <c r="F140" s="11" t="s">
        <v>111</v>
      </c>
    </row>
    <row r="141" spans="2:6">
      <c r="B141" s="1" t="s">
        <v>416</v>
      </c>
      <c r="C141" t="s">
        <v>431</v>
      </c>
      <c r="D141">
        <v>2024</v>
      </c>
      <c r="F141" s="11" t="s">
        <v>119</v>
      </c>
    </row>
    <row r="142" spans="2:6">
      <c r="B142" s="1" t="s">
        <v>410</v>
      </c>
      <c r="C142" s="1" t="s">
        <v>112</v>
      </c>
      <c r="D142">
        <v>2023</v>
      </c>
      <c r="F142" s="11" t="s">
        <v>70</v>
      </c>
    </row>
    <row r="143" spans="2:6">
      <c r="B143" t="s">
        <v>421</v>
      </c>
      <c r="C143" t="s">
        <v>587</v>
      </c>
      <c r="D143">
        <v>2024</v>
      </c>
    </row>
    <row r="146" spans="2:6">
      <c r="B146" t="s">
        <v>588</v>
      </c>
      <c r="C146" t="s">
        <v>6</v>
      </c>
      <c r="D146" t="s">
        <v>582</v>
      </c>
      <c r="F146" t="s">
        <v>583</v>
      </c>
    </row>
    <row r="147" spans="2:6">
      <c r="B147" t="s">
        <v>484</v>
      </c>
      <c r="C147" t="s">
        <v>488</v>
      </c>
      <c r="D147">
        <v>2024</v>
      </c>
      <c r="F147" s="11" t="s">
        <v>111</v>
      </c>
    </row>
    <row r="148" spans="2:6">
      <c r="F148" s="11" t="s">
        <v>119</v>
      </c>
    </row>
    <row r="149" spans="2:6">
      <c r="F149" s="11" t="s">
        <v>70</v>
      </c>
    </row>
    <row r="151" spans="2:6">
      <c r="B151" t="s">
        <v>589</v>
      </c>
      <c r="C151" t="s">
        <v>6</v>
      </c>
      <c r="F151" t="s">
        <v>583</v>
      </c>
    </row>
    <row r="152" spans="2:6">
      <c r="B152" t="s">
        <v>511</v>
      </c>
      <c r="C152" t="s">
        <v>590</v>
      </c>
      <c r="D152">
        <v>2021</v>
      </c>
      <c r="F152" s="11" t="s">
        <v>111</v>
      </c>
    </row>
    <row r="153" spans="2:6">
      <c r="B153" t="s">
        <v>510</v>
      </c>
      <c r="C153" t="s">
        <v>590</v>
      </c>
      <c r="D153">
        <v>2021</v>
      </c>
      <c r="F153" s="11" t="s">
        <v>119</v>
      </c>
    </row>
    <row r="154" spans="2:6">
      <c r="B154" t="s">
        <v>513</v>
      </c>
      <c r="C154" t="s">
        <v>590</v>
      </c>
      <c r="F154" s="11" t="s">
        <v>70</v>
      </c>
    </row>
    <row r="155" spans="2:6">
      <c r="B155" t="s">
        <v>512</v>
      </c>
      <c r="C155" t="s">
        <v>591</v>
      </c>
    </row>
    <row r="156" spans="2:6">
      <c r="B156" t="s">
        <v>515</v>
      </c>
      <c r="C156" t="s">
        <v>591</v>
      </c>
    </row>
    <row r="157" spans="2:6">
      <c r="B157" t="s">
        <v>514</v>
      </c>
      <c r="C157" t="s">
        <v>592</v>
      </c>
    </row>
    <row r="158" spans="2:6">
      <c r="B158" t="s">
        <v>516</v>
      </c>
      <c r="C158" t="s">
        <v>592</v>
      </c>
    </row>
    <row r="159" spans="2:6">
      <c r="B159" t="s">
        <v>517</v>
      </c>
      <c r="C159" t="s">
        <v>593</v>
      </c>
      <c r="D159">
        <v>2023</v>
      </c>
    </row>
    <row r="160" spans="2:6">
      <c r="B160" t="s">
        <v>518</v>
      </c>
      <c r="C160" t="s">
        <v>593</v>
      </c>
      <c r="D160">
        <v>2024</v>
      </c>
    </row>
    <row r="161" spans="2:3">
      <c r="B161" t="s">
        <v>519</v>
      </c>
      <c r="C161" t="s">
        <v>593</v>
      </c>
    </row>
  </sheetData>
  <sheetProtection algorithmName="SHA-512" hashValue="WyBeaSAwLCzooM7iME0VH6xjJAgyNfQM9QYlDDqMuM/e56BYADi/gtTfUTLPz3Cnd0u3qxdTHnqMFAsv+5fmrg==" saltValue="oDJPslRhg1kcoYA2933FM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Ivan G. Caina</dc:creator>
  <cp:keywords/>
  <dc:description/>
  <cp:lastModifiedBy>Nicole B. Estacio</cp:lastModifiedBy>
  <cp:revision/>
  <dcterms:created xsi:type="dcterms:W3CDTF">2024-07-05T02:48:54Z</dcterms:created>
  <dcterms:modified xsi:type="dcterms:W3CDTF">2026-09-09T00:12:11Z</dcterms:modified>
  <cp:category/>
  <cp:contentStatus/>
</cp:coreProperties>
</file>